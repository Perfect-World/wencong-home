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新建文件夹\兰亭序\"/>
    </mc:Choice>
  </mc:AlternateContent>
  <bookViews>
    <workbookView windowWidth="28800" windowHeight="12375"/>
  </bookViews>
  <sheets>
    <sheet name="报价单" sheetId="2" r:id="rId1"/>
  </sheets>
  <definedNames>
    <definedName name="_xlnm._FilterDatabase" localSheetId="0" hidden="1">报价单!$A$5:$K$96</definedName>
    <definedName name="_xlnm.Print_Area" localSheetId="0">报价单!$A$1:$K$97</definedName>
    <definedName name="_xlnm.Print_Titles" localSheetId="0">报价单!$2:$5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<sst xmlns="http://schemas.openxmlformats.org/spreadsheetml/2006/main" count="260" uniqueCount="120">
  <si>
    <t>工程预算报价表</t>
  </si>
  <si>
    <t>工程名称：澜庭序  分项 预算</t>
  </si>
  <si>
    <t>报价日期：2026-8-21</t>
  </si>
  <si>
    <t>序号</t>
  </si>
  <si>
    <t>单位</t>
  </si>
  <si>
    <t>数量</t>
  </si>
  <si>
    <t>材料费</t>
  </si>
  <si>
    <t>人工费</t>
  </si>
  <si>
    <t>机械费</t>
  </si>
  <si>
    <t>综合单价</t>
  </si>
  <si>
    <t>总价</t>
  </si>
  <si>
    <t>工艺和主要材质说明及备注</t>
  </si>
  <si>
    <t xml:space="preserve">一 客餐过道          </t>
  </si>
  <si>
    <t>JZ0101004003</t>
  </si>
  <si>
    <t>地面铺地单色地砖（地砖周长1500*750）</t>
  </si>
  <si>
    <r>
      <rPr>
        <sz val="9"/>
        <rFont val="黑体"/>
        <charset val="134"/>
      </rPr>
      <t>M</t>
    </r>
    <r>
      <rPr>
        <vertAlign val="superscript"/>
        <sz val="9"/>
        <rFont val="黑体"/>
        <charset val="134"/>
      </rPr>
      <t>2</t>
    </r>
  </si>
  <si>
    <t>尺寸为 1500*750大板柔光砖  包含厨房地面</t>
  </si>
  <si>
    <t>水泥沙等辅料</t>
  </si>
  <si>
    <t>水泥 华新水泥或三峡水泥 河沙</t>
  </si>
  <si>
    <t>JZ0301002043</t>
  </si>
  <si>
    <t>墙顶面腻子找平喷刷顶面乳胶漆</t>
  </si>
  <si>
    <t>1、多乐士腻子或双飞粉批灰二~三遍、打磨。按展开面积计算，面层滚涂环保乳胶漆，面漆二遍，</t>
  </si>
  <si>
    <t>JZ0301002002</t>
  </si>
  <si>
    <t>轻钢龙骨石膏板造型顶</t>
  </si>
  <si>
    <t>轻钢龙骨或木龙骨石背板吊顶，千年舟石膏板</t>
  </si>
  <si>
    <t>JZ0301002022</t>
  </si>
  <si>
    <t>双眼皮边吊</t>
  </si>
  <si>
    <t>M</t>
  </si>
  <si>
    <t>泰山ENF石膏板</t>
  </si>
  <si>
    <t>窗帘盒</t>
  </si>
  <si>
    <t xml:space="preserve">二 公共卫生间          </t>
  </si>
  <si>
    <t>JZ0202003003</t>
  </si>
  <si>
    <t>卫生间墙地面找平</t>
  </si>
  <si>
    <t>1乙方提供地砖；2、原地面清扫干净，凿毛处理，水泥浆基底，不包括特殊基层处理；3、国标32.5号水泥、中砂：4、拼花及菱形铺贴人工另加30元/平米。(波导线另计)</t>
  </si>
  <si>
    <t>JZ0202007003</t>
  </si>
  <si>
    <t>预制扣板包水管（展开600mm内）</t>
  </si>
  <si>
    <t>根</t>
  </si>
  <si>
    <t>1.阻尼片 隔音棉包覆，预制扣板，使用水泥沙浆砌筑，单面抹灰.</t>
  </si>
  <si>
    <t>JZ0101004006</t>
  </si>
  <si>
    <t>地面回填找平+防水</t>
  </si>
  <si>
    <t>项目</t>
  </si>
  <si>
    <t>1、按三棵树防水施工要求清理基层；2、刚柔性专业防水按设计要求施工；3、延墙1800mm高、浴缸墙面高出浴缸上口500mm高、淋浴房淋浴区内墙面满涂；4、水泥砂浆地面找平另计；5、工程量按展开面积计算。</t>
  </si>
  <si>
    <t>JZ0101003005</t>
  </si>
  <si>
    <t>门槛石铺贴倒角</t>
  </si>
  <si>
    <t xml:space="preserve">  </t>
  </si>
  <si>
    <t xml:space="preserve">三 厨房     </t>
  </si>
  <si>
    <t>贴墙面砖（墙面800*800）</t>
  </si>
  <si>
    <t>1、乙方提供地砖；2、原地面清扫干净，凿毛处理，水泥浆基底，不包括特殊基层处理；3、国标32.5号水泥、中砂：4、拼花及菱形铺贴人工另加30元/平米。(波导线另计)</t>
  </si>
  <si>
    <t>包水管（展开600mm内）</t>
  </si>
  <si>
    <t>1.阻尼 隔音棉包覆，预制扣板，使用水泥沙浆砌筑，单面抹灰.</t>
  </si>
  <si>
    <t>口袋门 吊轨道预埋加固</t>
  </si>
  <si>
    <t xml:space="preserve">四 主卧        </t>
  </si>
  <si>
    <t>封平吊顶</t>
  </si>
  <si>
    <t>千年舟石膏板</t>
  </si>
  <si>
    <t>贴普通墙地面砖（800*800）</t>
  </si>
  <si>
    <t>1甲方提供地砖；2、原地面清扫干净，凿毛处理，水泥浆基底，不包括特殊基层处理；3、国标32.5号水泥、中砂：4、拼花及菱形铺贴人工另加30元/平米。(波导线另计)</t>
  </si>
  <si>
    <t>单眼皮边吊</t>
  </si>
  <si>
    <t xml:space="preserve">五 主卧卫生间      </t>
  </si>
  <si>
    <t>1.阻尼隔音棉包覆，预制扣板，使用水泥沙浆砌筑，单面抹灰.</t>
  </si>
  <si>
    <t>门槛碰角处理</t>
  </si>
  <si>
    <t>六 儿童房</t>
  </si>
  <si>
    <t>九 次卧</t>
  </si>
  <si>
    <t>1、多乐士腻子或双飞粉批灰二~三遍、打磨。按展开面积计算：面层滚涂环保乳胶漆，面漆二遍，</t>
  </si>
  <si>
    <t>r't</t>
  </si>
  <si>
    <t xml:space="preserve">次卧卫生间          </t>
  </si>
  <si>
    <t xml:space="preserve">十 瓦工基础工程                      </t>
  </si>
  <si>
    <t>JZ0701025002</t>
  </si>
  <si>
    <t xml:space="preserve"> 家居成品保护</t>
  </si>
  <si>
    <t>项</t>
  </si>
  <si>
    <t>1、110m2-140m2</t>
  </si>
  <si>
    <t>JZ0301002040</t>
  </si>
  <si>
    <t xml:space="preserve"> 墙固</t>
  </si>
  <si>
    <t>1、801胶掺膏灰粉批底；2、工程量按展开面积计算。</t>
  </si>
  <si>
    <t>JZ0202007006</t>
  </si>
  <si>
    <t>墙顶面面基础处理杂项</t>
  </si>
  <si>
    <t>1、采用华新325#水泥、粗砂；2、补门洞、窗洞、拆除后断面粉刷等。</t>
  </si>
  <si>
    <t>开粉线槽</t>
  </si>
  <si>
    <t>1、采用华新325#水泥、粗砂；2、水电线槽</t>
  </si>
  <si>
    <t>砌墙</t>
  </si>
  <si>
    <t>贴窗台石</t>
  </si>
  <si>
    <t>1500*750美缝</t>
  </si>
  <si>
    <t>环氧彩砂平缝工艺</t>
  </si>
  <si>
    <t>十一 水电工程</t>
  </si>
  <si>
    <t>JZ0901001002</t>
  </si>
  <si>
    <t>电路布线（强电）（BV铜塑线/弱电）</t>
  </si>
  <si>
    <r>
      <rPr>
        <sz val="9"/>
        <rFont val="黑体"/>
        <charset val="134"/>
      </rPr>
      <t>M</t>
    </r>
    <r>
      <rPr>
        <sz val="9"/>
        <rFont val="宋体"/>
        <charset val="134"/>
      </rPr>
      <t>²</t>
    </r>
  </si>
  <si>
    <t>1、恒飞阻燃免检BV铜塑线；2、采用专用彩色16PVC阻燃管；3、每根管一路线（照明1.5mm2、电源插座2.5mm2、空调4mm2或弱电线）；4、含电线、秋叶原弱电材料、线管材料及布线、穿管人工；5、按实际施工数量结算；6、不含开关插座、灯具；</t>
  </si>
  <si>
    <t>JZ0901001003</t>
  </si>
  <si>
    <t>电路布线（弱电）（BV铜塑线/弱电）</t>
  </si>
  <si>
    <t>1、阻燃免检BV铜塑线；2、采用专用彩色16PVC阻燃管；3、每根管一路线（照明1.5mm2、电源插座2.5mm2、空调4mm2或弱电线）；4、含电线、秋叶原弱电材料、线管材料及布线、穿管人工；5、按实际施工数量结算；6、不含开关插座、灯具；</t>
  </si>
  <si>
    <t>JZ0901017002</t>
  </si>
  <si>
    <t>进水管改造</t>
  </si>
  <si>
    <t>1、采用保利PP-R管，含水管及其专用配件；2、按实际施工数量结算；3、不含洁具、阀门水嘴、软管、下水材料及安装。</t>
  </si>
  <si>
    <t>JZ0901017005</t>
  </si>
  <si>
    <t>下水管改造</t>
  </si>
  <si>
    <t>1、采用保利PVC下水管；2、含配件材料及安装人工。</t>
  </si>
  <si>
    <t>JZ0901007001</t>
  </si>
  <si>
    <t>开关、插座底盒安装 灯具安装</t>
  </si>
  <si>
    <t>1、86型标准底盒、换用大规格底盒材料费按2.5元/个计算；2、数量据实结算。</t>
  </si>
  <si>
    <t>十二 其他工程</t>
  </si>
  <si>
    <t>JZ0701026003</t>
  </si>
  <si>
    <t>更换强弱电箱</t>
  </si>
  <si>
    <t>JZ0701026001</t>
  </si>
  <si>
    <t>天然气波纹管</t>
  </si>
  <si>
    <t>1、专用黄色天然气波纹管安装。荆州天然气指定品牌  南京柔科</t>
  </si>
  <si>
    <t>JZ0701026002</t>
  </si>
  <si>
    <t>材料运输及搬运费</t>
  </si>
  <si>
    <t>开洞费用</t>
  </si>
  <si>
    <t>个</t>
  </si>
  <si>
    <t>垃圾清运费</t>
  </si>
  <si>
    <t>管理费</t>
  </si>
  <si>
    <t>主材总计</t>
  </si>
  <si>
    <t>A</t>
  </si>
  <si>
    <t>工程直接费合计=（一+二+﹏十五）</t>
  </si>
  <si>
    <t>∑</t>
  </si>
  <si>
    <t>工程总造价=（A+B+C）</t>
  </si>
  <si>
    <t xml:space="preserve">                        甲方签字 ：                             乙方签字：</t>
  </si>
  <si>
    <t>1、本报价根据客户认可的本公司设计图纸编制而成,不含家私，电器，配饰挂画等。施工内容以本预算为准，如有变更，客户应提前通知并另行签约。</t>
  </si>
  <si>
    <t>2、本报价不含物业管理公司所收取的任何管理费、押金及垃圾清除费，物业公司所收取的任何费用敬请业主承担。</t>
  </si>
  <si>
    <t>3、本报价单中若有不可预计及无法准确计算的项目，按实际施工项目据实结算。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</si>
</sst>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  <numFmt numFmtId="178" formatCode="\¥#,##0_);\(\¥#,##0\)"/>
  </numFmts>
  <fonts count="37">
    <font>
      <sz val="12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sz val="9"/>
      <name val="黑体"/>
      <charset val="134"/>
    </font>
    <font>
      <sz val="8"/>
      <name val="宋体"/>
      <charset val="134"/>
    </font>
    <font>
      <b/>
      <sz val="16"/>
      <name val="宋体"/>
      <charset val="134"/>
    </font>
    <font>
      <b/>
      <sz val="14"/>
      <color indexed="9"/>
      <name val="宋体"/>
      <charset val="134"/>
    </font>
    <font>
      <b/>
      <sz val="10"/>
      <color indexed="9"/>
      <name val="宋体"/>
      <charset val="134"/>
    </font>
    <font>
      <b/>
      <sz val="10"/>
      <name val="宋体"/>
      <charset val="134"/>
    </font>
    <font>
      <b/>
      <sz val="10"/>
      <color indexed="9"/>
      <name val="黑体"/>
      <charset val="134"/>
    </font>
    <font>
      <b/>
      <sz val="9"/>
      <color indexed="9"/>
      <name val="黑体"/>
      <charset val="134"/>
    </font>
    <font>
      <b/>
      <sz val="12"/>
      <color indexed="9"/>
      <name val="宋体"/>
      <charset val="134"/>
    </font>
    <font>
      <b/>
      <sz val="9"/>
      <name val="Times New Roman"/>
      <charset val="134"/>
    </font>
    <font>
      <b/>
      <sz val="9"/>
      <name val="宋体"/>
      <charset val="134"/>
    </font>
    <font>
      <b/>
      <sz val="8"/>
      <name val="宋体"/>
      <charset val="134"/>
    </font>
    <font>
      <sz val="9"/>
      <color indexed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9"/>
      <name val="黑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15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18" applyNumberFormat="0" applyAlignment="0" applyProtection="0">
      <alignment vertical="center"/>
    </xf>
    <xf numFmtId="0" fontId="26" fillId="6" borderId="19" applyNumberFormat="0" applyAlignment="0" applyProtection="0">
      <alignment vertical="center"/>
    </xf>
    <xf numFmtId="0" fontId="27" fillId="6" borderId="18" applyNumberFormat="0" applyAlignment="0" applyProtection="0">
      <alignment vertical="center"/>
    </xf>
    <xf numFmtId="0" fontId="28" fillId="7" borderId="20" applyNumberFormat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</cellStyleXfs>
  <cellXfs count="94">
    <xf numFmtId="0" fontId="0" fillId="0" borderId="0" xfId="0"/>
    <xf numFmtId="0" fontId="1" fillId="0" borderId="0" xfId="49" applyFont="1" applyBorder="1" applyAlignment="1">
      <alignment horizontal="left" vertical="center" wrapText="1"/>
    </xf>
    <xf numFmtId="0" fontId="2" fillId="0" borderId="0" xfId="49" applyFont="1" applyBorder="1" applyAlignment="1">
      <alignment vertical="center" wrapText="1"/>
    </xf>
    <xf numFmtId="0" fontId="3" fillId="0" borderId="0" xfId="49" applyFont="1" applyFill="1" applyBorder="1" applyAlignment="1">
      <alignment vertical="center" wrapText="1"/>
    </xf>
    <xf numFmtId="176" fontId="3" fillId="0" borderId="0" xfId="49" applyNumberFormat="1" applyFont="1" applyFill="1" applyBorder="1" applyAlignment="1">
      <alignment vertical="center" wrapText="1"/>
    </xf>
    <xf numFmtId="0" fontId="3" fillId="0" borderId="0" xfId="49" applyFont="1" applyBorder="1" applyAlignment="1">
      <alignment vertical="center" wrapText="1"/>
    </xf>
    <xf numFmtId="0" fontId="3" fillId="0" borderId="0" xfId="49" applyFont="1" applyAlignment="1">
      <alignment vertical="center" wrapText="1"/>
    </xf>
    <xf numFmtId="0" fontId="1" fillId="0" borderId="0" xfId="49" applyFont="1" applyBorder="1" applyAlignment="1">
      <alignment vertical="center" wrapText="1"/>
    </xf>
    <xf numFmtId="176" fontId="3" fillId="0" borderId="0" xfId="49" applyNumberFormat="1" applyFont="1" applyBorder="1" applyAlignment="1">
      <alignment vertical="center" wrapText="1"/>
    </xf>
    <xf numFmtId="0" fontId="1" fillId="0" borderId="0" xfId="49" applyFont="1" applyFill="1" applyBorder="1" applyAlignment="1">
      <alignment horizontal="center" vertical="center" wrapText="1"/>
    </xf>
    <xf numFmtId="0" fontId="1" fillId="0" borderId="0" xfId="49" applyFont="1" applyBorder="1" applyAlignment="1">
      <alignment horizontal="center" vertical="center" wrapText="1"/>
    </xf>
    <xf numFmtId="177" fontId="1" fillId="0" borderId="0" xfId="49" applyNumberFormat="1" applyFont="1" applyBorder="1" applyAlignment="1">
      <alignment horizontal="center" vertical="center" wrapText="1"/>
    </xf>
    <xf numFmtId="0" fontId="4" fillId="0" borderId="0" xfId="49" applyFont="1" applyBorder="1" applyAlignment="1">
      <alignment horizontal="left" vertical="center" wrapText="1"/>
    </xf>
    <xf numFmtId="0" fontId="5" fillId="2" borderId="1" xfId="49" applyFont="1" applyFill="1" applyBorder="1" applyAlignment="1">
      <alignment horizontal="center" vertical="center" wrapText="1"/>
    </xf>
    <xf numFmtId="0" fontId="5" fillId="2" borderId="2" xfId="49" applyFont="1" applyFill="1" applyBorder="1" applyAlignment="1">
      <alignment horizontal="center" vertical="center" wrapText="1"/>
    </xf>
    <xf numFmtId="0" fontId="5" fillId="2" borderId="3" xfId="49" applyFont="1" applyFill="1" applyBorder="1" applyAlignment="1">
      <alignment horizontal="center" vertical="center" wrapText="1"/>
    </xf>
    <xf numFmtId="0" fontId="5" fillId="0" borderId="4" xfId="49" applyFont="1" applyBorder="1" applyAlignment="1">
      <alignment horizontal="center" vertical="center" wrapText="1"/>
    </xf>
    <xf numFmtId="0" fontId="5" fillId="0" borderId="5" xfId="49" applyFont="1" applyBorder="1" applyAlignment="1">
      <alignment horizontal="center" vertical="center" wrapText="1"/>
    </xf>
    <xf numFmtId="0" fontId="5" fillId="0" borderId="6" xfId="49" applyFont="1" applyBorder="1" applyAlignment="1">
      <alignment horizontal="center" vertical="center" wrapText="1"/>
    </xf>
    <xf numFmtId="0" fontId="6" fillId="2" borderId="4" xfId="49" applyFont="1" applyFill="1" applyBorder="1" applyAlignment="1">
      <alignment horizontal="left" vertical="center" wrapText="1"/>
    </xf>
    <xf numFmtId="0" fontId="6" fillId="2" borderId="5" xfId="49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7" fillId="2" borderId="4" xfId="49" applyFont="1" applyFill="1" applyBorder="1" applyAlignment="1">
      <alignment horizontal="left" vertical="center" wrapText="1"/>
    </xf>
    <xf numFmtId="0" fontId="7" fillId="2" borderId="5" xfId="49" applyFont="1" applyFill="1" applyBorder="1" applyAlignment="1">
      <alignment horizontal="left" vertical="center" wrapText="1"/>
    </xf>
    <xf numFmtId="0" fontId="7" fillId="2" borderId="6" xfId="49" applyFont="1" applyFill="1" applyBorder="1" applyAlignment="1">
      <alignment horizontal="left" vertical="center" wrapText="1"/>
    </xf>
    <xf numFmtId="0" fontId="8" fillId="0" borderId="4" xfId="49" applyFont="1" applyFill="1" applyBorder="1" applyAlignment="1">
      <alignment horizontal="center" vertical="center" wrapText="1"/>
    </xf>
    <xf numFmtId="0" fontId="8" fillId="0" borderId="5" xfId="49" applyFont="1" applyFill="1" applyBorder="1" applyAlignment="1">
      <alignment horizontal="center" vertical="center" wrapText="1"/>
    </xf>
    <xf numFmtId="0" fontId="8" fillId="0" borderId="5" xfId="49" applyFont="1" applyBorder="1" applyAlignment="1">
      <alignment horizontal="center" vertical="center" wrapText="1"/>
    </xf>
    <xf numFmtId="177" fontId="8" fillId="0" borderId="5" xfId="49" applyNumberFormat="1" applyFont="1" applyBorder="1" applyAlignment="1">
      <alignment horizontal="center" vertical="center" wrapText="1"/>
    </xf>
    <xf numFmtId="2" fontId="8" fillId="0" borderId="5" xfId="49" applyNumberFormat="1" applyFont="1" applyBorder="1" applyAlignment="1">
      <alignment horizontal="center" vertical="center" wrapText="1"/>
    </xf>
    <xf numFmtId="0" fontId="8" fillId="0" borderId="6" xfId="49" applyFont="1" applyBorder="1" applyAlignment="1">
      <alignment horizontal="center" vertical="center" wrapText="1"/>
    </xf>
    <xf numFmtId="0" fontId="9" fillId="2" borderId="7" xfId="49" applyFont="1" applyFill="1" applyBorder="1" applyAlignment="1">
      <alignment horizontal="left" vertical="center" wrapText="1"/>
    </xf>
    <xf numFmtId="0" fontId="9" fillId="2" borderId="8" xfId="49" applyFont="1" applyFill="1" applyBorder="1" applyAlignment="1">
      <alignment horizontal="left" vertical="center" wrapText="1"/>
    </xf>
    <xf numFmtId="0" fontId="9" fillId="2" borderId="9" xfId="49" applyFont="1" applyFill="1" applyBorder="1" applyAlignment="1">
      <alignment horizontal="left" vertical="center" wrapText="1"/>
    </xf>
    <xf numFmtId="0" fontId="3" fillId="0" borderId="5" xfId="49" applyFont="1" applyFill="1" applyBorder="1" applyAlignment="1">
      <alignment horizontal="center" vertical="center" wrapText="1"/>
    </xf>
    <xf numFmtId="0" fontId="3" fillId="0" borderId="5" xfId="49" applyFont="1" applyFill="1" applyBorder="1" applyAlignment="1">
      <alignment horizontal="left" vertical="center" wrapText="1"/>
    </xf>
    <xf numFmtId="176" fontId="3" fillId="0" borderId="5" xfId="49" applyNumberFormat="1" applyFont="1" applyFill="1" applyBorder="1" applyAlignment="1">
      <alignment horizontal="center" vertical="center" wrapText="1"/>
    </xf>
    <xf numFmtId="2" fontId="3" fillId="0" borderId="5" xfId="49" applyNumberFormat="1" applyFont="1" applyFill="1" applyBorder="1" applyAlignment="1">
      <alignment horizontal="center" vertical="center" wrapText="1"/>
    </xf>
    <xf numFmtId="2" fontId="3" fillId="0" borderId="5" xfId="49" applyNumberFormat="1" applyFont="1" applyFill="1" applyBorder="1" applyAlignment="1">
      <alignment horizontal="left" vertical="center" wrapText="1"/>
    </xf>
    <xf numFmtId="0" fontId="3" fillId="0" borderId="5" xfId="49" applyFont="1" applyBorder="1" applyAlignment="1">
      <alignment horizontal="left" vertical="center" wrapText="1"/>
    </xf>
    <xf numFmtId="0" fontId="3" fillId="0" borderId="5" xfId="49" applyFont="1" applyBorder="1" applyAlignment="1">
      <alignment horizontal="center" vertical="center" wrapText="1"/>
    </xf>
    <xf numFmtId="176" fontId="3" fillId="0" borderId="5" xfId="49" applyNumberFormat="1" applyFont="1" applyBorder="1" applyAlignment="1">
      <alignment horizontal="center" vertical="center" wrapText="1"/>
    </xf>
    <xf numFmtId="0" fontId="3" fillId="0" borderId="7" xfId="49" applyFont="1" applyFill="1" applyBorder="1" applyAlignment="1">
      <alignment horizontal="center" vertical="center" wrapText="1"/>
    </xf>
    <xf numFmtId="0" fontId="3" fillId="0" borderId="8" xfId="49" applyFont="1" applyFill="1" applyBorder="1" applyAlignment="1">
      <alignment horizontal="center" vertical="center" wrapText="1"/>
    </xf>
    <xf numFmtId="0" fontId="3" fillId="0" borderId="8" xfId="49" applyFont="1" applyBorder="1" applyAlignment="1">
      <alignment horizontal="left" vertical="center" wrapText="1"/>
    </xf>
    <xf numFmtId="0" fontId="3" fillId="0" borderId="8" xfId="49" applyFont="1" applyBorder="1" applyAlignment="1">
      <alignment horizontal="center" vertical="center" wrapText="1"/>
    </xf>
    <xf numFmtId="176" fontId="3" fillId="0" borderId="8" xfId="49" applyNumberFormat="1" applyFont="1" applyFill="1" applyBorder="1" applyAlignment="1">
      <alignment horizontal="center" vertical="center" wrapText="1"/>
    </xf>
    <xf numFmtId="176" fontId="3" fillId="0" borderId="8" xfId="49" applyNumberFormat="1" applyFont="1" applyBorder="1" applyAlignment="1">
      <alignment horizontal="center" vertical="center" wrapText="1"/>
    </xf>
    <xf numFmtId="2" fontId="3" fillId="0" borderId="8" xfId="49" applyNumberFormat="1" applyFont="1" applyFill="1" applyBorder="1" applyAlignment="1">
      <alignment horizontal="center" vertical="center" wrapText="1"/>
    </xf>
    <xf numFmtId="0" fontId="3" fillId="0" borderId="9" xfId="49" applyFont="1" applyBorder="1" applyAlignment="1">
      <alignment horizontal="left" vertical="center" wrapText="1"/>
    </xf>
    <xf numFmtId="2" fontId="3" fillId="0" borderId="5" xfId="49" applyNumberFormat="1" applyFont="1" applyBorder="1" applyAlignment="1">
      <alignment horizontal="left" vertical="center" wrapText="1"/>
    </xf>
    <xf numFmtId="2" fontId="3" fillId="0" borderId="9" xfId="49" applyNumberFormat="1" applyFont="1" applyBorder="1" applyAlignment="1">
      <alignment horizontal="left" vertical="center" wrapText="1"/>
    </xf>
    <xf numFmtId="0" fontId="3" fillId="3" borderId="5" xfId="49" applyFont="1" applyFill="1" applyBorder="1" applyAlignment="1">
      <alignment horizontal="center" vertical="center" wrapText="1"/>
    </xf>
    <xf numFmtId="0" fontId="3" fillId="3" borderId="5" xfId="49" applyFont="1" applyFill="1" applyBorder="1" applyAlignment="1">
      <alignment horizontal="left" vertical="center" wrapText="1"/>
    </xf>
    <xf numFmtId="176" fontId="3" fillId="3" borderId="5" xfId="49" applyNumberFormat="1" applyFont="1" applyFill="1" applyBorder="1" applyAlignment="1">
      <alignment horizontal="center" vertical="center" wrapText="1"/>
    </xf>
    <xf numFmtId="2" fontId="3" fillId="3" borderId="5" xfId="49" applyNumberFormat="1" applyFont="1" applyFill="1" applyBorder="1" applyAlignment="1">
      <alignment horizontal="center" vertical="center" wrapText="1"/>
    </xf>
    <xf numFmtId="0" fontId="10" fillId="2" borderId="10" xfId="49" applyFont="1" applyFill="1" applyBorder="1" applyAlignment="1">
      <alignment horizontal="left" vertical="center" wrapText="1"/>
    </xf>
    <xf numFmtId="0" fontId="10" fillId="2" borderId="8" xfId="49" applyFont="1" applyFill="1" applyBorder="1" applyAlignment="1">
      <alignment horizontal="left" vertical="center" wrapText="1"/>
    </xf>
    <xf numFmtId="0" fontId="10" fillId="2" borderId="11" xfId="49" applyFont="1" applyFill="1" applyBorder="1" applyAlignment="1">
      <alignment horizontal="left" vertical="center" wrapText="1"/>
    </xf>
    <xf numFmtId="2" fontId="3" fillId="0" borderId="9" xfId="49" applyNumberFormat="1" applyFont="1" applyFill="1" applyBorder="1" applyAlignment="1">
      <alignment horizontal="center" vertical="center" wrapText="1"/>
    </xf>
    <xf numFmtId="0" fontId="3" fillId="0" borderId="7" xfId="49" applyFont="1" applyBorder="1" applyAlignment="1">
      <alignment horizontal="left" vertical="center" wrapText="1"/>
    </xf>
    <xf numFmtId="0" fontId="10" fillId="2" borderId="9" xfId="49" applyFont="1" applyFill="1" applyBorder="1" applyAlignment="1">
      <alignment horizontal="left" vertical="center" wrapText="1"/>
    </xf>
    <xf numFmtId="2" fontId="3" fillId="2" borderId="5" xfId="49" applyNumberFormat="1" applyFont="1" applyFill="1" applyBorder="1" applyAlignment="1">
      <alignment horizontal="center" vertical="center" wrapText="1"/>
    </xf>
    <xf numFmtId="2" fontId="3" fillId="2" borderId="6" xfId="49" applyNumberFormat="1" applyFont="1" applyFill="1" applyBorder="1" applyAlignment="1">
      <alignment horizontal="left" vertical="center" wrapText="1"/>
    </xf>
    <xf numFmtId="0" fontId="3" fillId="0" borderId="4" xfId="49" applyFont="1" applyFill="1" applyBorder="1" applyAlignment="1">
      <alignment horizontal="center" vertical="center" wrapText="1"/>
    </xf>
    <xf numFmtId="177" fontId="3" fillId="0" borderId="5" xfId="49" applyNumberFormat="1" applyFont="1" applyFill="1" applyBorder="1" applyAlignment="1">
      <alignment horizontal="center" vertical="center" wrapText="1"/>
    </xf>
    <xf numFmtId="0" fontId="3" fillId="0" borderId="6" xfId="51" applyFont="1" applyBorder="1" applyAlignment="1">
      <alignment horizontal="left" vertical="center" wrapText="1"/>
    </xf>
    <xf numFmtId="177" fontId="3" fillId="0" borderId="8" xfId="49" applyNumberFormat="1" applyFont="1" applyFill="1" applyBorder="1" applyAlignment="1">
      <alignment horizontal="center" vertical="center" wrapText="1"/>
    </xf>
    <xf numFmtId="0" fontId="3" fillId="0" borderId="8" xfId="51" applyFont="1" applyBorder="1" applyAlignment="1">
      <alignment horizontal="left" vertical="center" wrapText="1"/>
    </xf>
    <xf numFmtId="0" fontId="1" fillId="2" borderId="4" xfId="49" applyFont="1" applyFill="1" applyBorder="1" applyAlignment="1">
      <alignment horizontal="center" vertical="center" wrapText="1"/>
    </xf>
    <xf numFmtId="0" fontId="1" fillId="2" borderId="5" xfId="49" applyFont="1" applyFill="1" applyBorder="1" applyAlignment="1">
      <alignment horizontal="center" vertical="center" wrapText="1"/>
    </xf>
    <xf numFmtId="0" fontId="11" fillId="2" borderId="5" xfId="49" applyFont="1" applyFill="1" applyBorder="1" applyAlignment="1">
      <alignment horizontal="center" vertical="center" wrapText="1"/>
    </xf>
    <xf numFmtId="177" fontId="1" fillId="2" borderId="5" xfId="49" applyNumberFormat="1" applyFont="1" applyFill="1" applyBorder="1" applyAlignment="1">
      <alignment horizontal="center" vertical="center" wrapText="1"/>
    </xf>
    <xf numFmtId="2" fontId="11" fillId="2" borderId="5" xfId="49" applyNumberFormat="1" applyFont="1" applyFill="1" applyBorder="1" applyAlignment="1">
      <alignment horizontal="center" vertical="center" wrapText="1"/>
    </xf>
    <xf numFmtId="2" fontId="1" fillId="2" borderId="6" xfId="49" applyNumberFormat="1" applyFont="1" applyFill="1" applyBorder="1" applyAlignment="1">
      <alignment horizontal="left" vertical="center" wrapText="1"/>
    </xf>
    <xf numFmtId="0" fontId="12" fillId="0" borderId="4" xfId="49" applyFont="1" applyFill="1" applyBorder="1" applyAlignment="1">
      <alignment horizontal="center" vertical="center" wrapText="1"/>
    </xf>
    <xf numFmtId="0" fontId="12" fillId="0" borderId="5" xfId="49" applyFont="1" applyFill="1" applyBorder="1" applyAlignment="1">
      <alignment horizontal="center" vertical="center" wrapText="1"/>
    </xf>
    <xf numFmtId="0" fontId="13" fillId="0" borderId="5" xfId="49" applyFont="1" applyBorder="1" applyAlignment="1">
      <alignment horizontal="left" vertical="center" wrapText="1"/>
    </xf>
    <xf numFmtId="1" fontId="13" fillId="0" borderId="5" xfId="49" applyNumberFormat="1" applyFont="1" applyBorder="1" applyAlignment="1">
      <alignment horizontal="center" vertical="center" wrapText="1"/>
    </xf>
    <xf numFmtId="178" fontId="14" fillId="0" borderId="6" xfId="49" applyNumberFormat="1" applyFont="1" applyBorder="1" applyAlignment="1">
      <alignment horizontal="left" vertical="center" wrapText="1"/>
    </xf>
    <xf numFmtId="0" fontId="13" fillId="0" borderId="4" xfId="49" applyFont="1" applyFill="1" applyBorder="1" applyAlignment="1">
      <alignment horizontal="center" vertical="center" wrapText="1"/>
    </xf>
    <xf numFmtId="0" fontId="13" fillId="0" borderId="5" xfId="49" applyFont="1" applyFill="1" applyBorder="1" applyAlignment="1">
      <alignment horizontal="center" vertical="center" wrapText="1"/>
    </xf>
    <xf numFmtId="0" fontId="13" fillId="0" borderId="10" xfId="49" applyFont="1" applyBorder="1" applyAlignment="1">
      <alignment horizontal="left" vertical="center" wrapText="1"/>
    </xf>
    <xf numFmtId="0" fontId="13" fillId="0" borderId="8" xfId="49" applyFont="1" applyBorder="1" applyAlignment="1">
      <alignment horizontal="left" vertical="center" wrapText="1"/>
    </xf>
    <xf numFmtId="0" fontId="13" fillId="0" borderId="11" xfId="49" applyFont="1" applyBorder="1" applyAlignment="1">
      <alignment horizontal="left" vertical="center" wrapText="1"/>
    </xf>
    <xf numFmtId="0" fontId="1" fillId="0" borderId="10" xfId="49" applyFont="1" applyBorder="1" applyAlignment="1">
      <alignment horizontal="left" vertical="center" wrapText="1"/>
    </xf>
    <xf numFmtId="0" fontId="1" fillId="0" borderId="8" xfId="49" applyFont="1" applyBorder="1" applyAlignment="1">
      <alignment horizontal="left" vertical="center" wrapText="1"/>
    </xf>
    <xf numFmtId="0" fontId="1" fillId="0" borderId="11" xfId="49" applyFont="1" applyBorder="1" applyAlignment="1">
      <alignment horizontal="left" vertical="center" wrapText="1"/>
    </xf>
    <xf numFmtId="0" fontId="1" fillId="0" borderId="12" xfId="49" applyFont="1" applyBorder="1" applyAlignment="1">
      <alignment horizontal="left" vertical="center" wrapText="1"/>
    </xf>
    <xf numFmtId="0" fontId="1" fillId="0" borderId="13" xfId="49" applyFont="1" applyBorder="1" applyAlignment="1">
      <alignment horizontal="left" vertical="center" wrapText="1"/>
    </xf>
    <xf numFmtId="0" fontId="1" fillId="0" borderId="14" xfId="49" applyFont="1" applyBorder="1" applyAlignment="1">
      <alignment horizontal="left" vertical="center" wrapText="1"/>
    </xf>
    <xf numFmtId="2" fontId="1" fillId="0" borderId="0" xfId="49" applyNumberFormat="1" applyFont="1" applyFill="1" applyBorder="1" applyAlignment="1">
      <alignment horizontal="center" vertical="center" wrapText="1"/>
    </xf>
    <xf numFmtId="0" fontId="15" fillId="0" borderId="0" xfId="49" applyFont="1" applyFill="1" applyBorder="1" applyAlignment="1">
      <alignment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2003年预算统一价格" xfId="49"/>
    <cellStyle name="常规_水电预算" xfId="50"/>
    <cellStyle name="常规_预算-2003-5-30" xfId="5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7"/>
  <sheetViews>
    <sheetView tabSelected="1" view="pageBreakPreview" zoomScaleNormal="100" workbookViewId="0">
      <pane ySplit="5" topLeftCell="A24" activePane="bottomLeft" state="frozenSplit"/>
      <selection/>
      <selection pane="bottomLeft" activeCell="I30" sqref="I30"/>
    </sheetView>
  </sheetViews>
  <sheetFormatPr defaultColWidth="9" defaultRowHeight="11.25"/>
  <cols>
    <col min="1" max="1" width="5.25" style="9" customWidth="1"/>
    <col min="2" max="2" width="5.125" style="9" customWidth="1"/>
    <col min="3" max="3" width="29.375" style="1" customWidth="1"/>
    <col min="4" max="4" width="3" style="10" customWidth="1"/>
    <col min="5" max="5" width="7.25" style="11" customWidth="1"/>
    <col min="6" max="6" width="6.375" style="10" customWidth="1"/>
    <col min="7" max="7" width="6.875" style="10" customWidth="1"/>
    <col min="8" max="8" width="5" style="10" customWidth="1"/>
    <col min="9" max="9" width="6.375" style="10" customWidth="1"/>
    <col min="10" max="10" width="13.25" style="10" customWidth="1"/>
    <col min="11" max="11" width="51.625" style="12" customWidth="1"/>
    <col min="12" max="16384" width="9" style="7"/>
  </cols>
  <sheetData>
    <row r="1" ht="20.25" spans="1:14">
      <c r="A1" s="13"/>
      <c r="B1" s="14"/>
      <c r="C1" s="14"/>
      <c r="D1" s="14"/>
      <c r="E1" s="14"/>
      <c r="F1" s="14"/>
      <c r="G1" s="14"/>
      <c r="H1" s="14"/>
      <c r="I1" s="14"/>
      <c r="J1" s="14"/>
      <c r="K1" s="15"/>
    </row>
    <row r="2" s="1" customFormat="1" ht="20.25" spans="1:14">
      <c r="A2" s="16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8"/>
    </row>
    <row r="3" s="1" customFormat="1" ht="23.25" customHeight="1" spans="1:14">
      <c r="A3" s="19" t="s">
        <v>1</v>
      </c>
      <c r="B3" s="20"/>
      <c r="C3" s="20"/>
      <c r="D3" s="20"/>
      <c r="E3" s="20"/>
      <c r="F3" s="21"/>
      <c r="G3" s="21"/>
      <c r="H3" s="21"/>
      <c r="I3" s="21"/>
      <c r="J3" s="21"/>
      <c r="K3" s="22"/>
    </row>
    <row r="4" s="2" customFormat="1" ht="21" customHeight="1" spans="1:14">
      <c r="A4" s="23" t="s">
        <v>2</v>
      </c>
      <c r="B4" s="24"/>
      <c r="C4" s="24"/>
      <c r="D4" s="24"/>
      <c r="E4" s="24"/>
      <c r="F4" s="24"/>
      <c r="G4" s="24"/>
      <c r="H4" s="24"/>
      <c r="I4" s="24"/>
      <c r="J4" s="24"/>
      <c r="K4" s="25"/>
    </row>
    <row r="5" ht="24" customHeight="1" spans="1:14">
      <c r="A5" s="26" t="s">
        <v>3</v>
      </c>
      <c r="B5" s="27"/>
      <c r="C5" s="28"/>
      <c r="D5" s="28" t="s">
        <v>4</v>
      </c>
      <c r="E5" s="29" t="s">
        <v>5</v>
      </c>
      <c r="F5" s="28" t="s">
        <v>6</v>
      </c>
      <c r="G5" s="30" t="s">
        <v>7</v>
      </c>
      <c r="H5" s="30" t="s">
        <v>8</v>
      </c>
      <c r="I5" s="30" t="s">
        <v>9</v>
      </c>
      <c r="J5" s="30" t="s">
        <v>10</v>
      </c>
      <c r="K5" s="31" t="s">
        <v>11</v>
      </c>
    </row>
    <row r="6" customFormat="1" ht="17.25" customHeight="1" spans="1:14">
      <c r="A6" s="32" t="s">
        <v>12</v>
      </c>
      <c r="B6" s="33"/>
      <c r="C6" s="33"/>
      <c r="D6" s="33"/>
      <c r="E6" s="33"/>
      <c r="F6" s="33"/>
      <c r="G6" s="33"/>
      <c r="H6" s="33"/>
      <c r="I6" s="33"/>
      <c r="J6" s="33"/>
      <c r="K6" s="34"/>
    </row>
    <row r="7" s="3" customFormat="1" ht="34.5" customHeight="1" spans="1:14">
      <c r="A7" s="35"/>
      <c r="B7" s="35" t="s">
        <v>13</v>
      </c>
      <c r="C7" s="36" t="s">
        <v>14</v>
      </c>
      <c r="D7" s="35" t="s">
        <v>15</v>
      </c>
      <c r="E7" s="35">
        <v>73</v>
      </c>
      <c r="F7" s="37"/>
      <c r="G7" s="37"/>
      <c r="H7" s="37"/>
      <c r="I7" s="38">
        <v>65</v>
      </c>
      <c r="J7" s="38">
        <f t="shared" ref="J7:J12" si="0">E7*I7</f>
        <v>4745</v>
      </c>
      <c r="K7" s="39" t="s">
        <v>16</v>
      </c>
      <c r="L7" s="4"/>
      <c r="M7" s="4"/>
      <c r="N7" s="4"/>
    </row>
    <row r="8" s="3" customFormat="1" ht="34.5" customHeight="1" spans="1:14">
      <c r="A8" s="35"/>
      <c r="B8" s="35" t="s">
        <v>13</v>
      </c>
      <c r="C8" s="36" t="s">
        <v>17</v>
      </c>
      <c r="D8" s="35" t="s">
        <v>15</v>
      </c>
      <c r="E8" s="35">
        <v>67</v>
      </c>
      <c r="F8" s="37"/>
      <c r="G8" s="37"/>
      <c r="H8" s="37"/>
      <c r="I8" s="38">
        <v>35</v>
      </c>
      <c r="J8" s="38">
        <f t="shared" si="0"/>
        <v>2345</v>
      </c>
      <c r="K8" s="39" t="s">
        <v>18</v>
      </c>
      <c r="L8" s="4"/>
      <c r="M8" s="4"/>
      <c r="N8" s="4"/>
    </row>
    <row r="9" ht="28" customHeight="1" spans="1:14">
      <c r="A9" s="35"/>
      <c r="B9" s="35" t="s">
        <v>19</v>
      </c>
      <c r="C9" s="40" t="s">
        <v>20</v>
      </c>
      <c r="D9" s="41" t="s">
        <v>15</v>
      </c>
      <c r="E9" s="35">
        <v>122</v>
      </c>
      <c r="F9" s="37"/>
      <c r="G9" s="42"/>
      <c r="H9" s="42"/>
      <c r="I9" s="38">
        <v>38</v>
      </c>
      <c r="J9" s="38">
        <f t="shared" si="0"/>
        <v>4636</v>
      </c>
      <c r="K9" s="40" t="s">
        <v>21</v>
      </c>
    </row>
    <row r="10" s="4" customFormat="1" ht="24" customHeight="1" spans="1:14">
      <c r="A10" s="35"/>
      <c r="B10" s="35" t="s">
        <v>22</v>
      </c>
      <c r="C10" s="36" t="s">
        <v>23</v>
      </c>
      <c r="D10" s="35" t="s">
        <v>15</v>
      </c>
      <c r="E10" s="35">
        <v>25</v>
      </c>
      <c r="F10" s="37"/>
      <c r="G10" s="37"/>
      <c r="H10" s="37"/>
      <c r="I10" s="38">
        <v>128</v>
      </c>
      <c r="J10" s="38">
        <f t="shared" si="0"/>
        <v>3200</v>
      </c>
      <c r="K10" s="36" t="s">
        <v>24</v>
      </c>
    </row>
    <row r="11" s="5" customFormat="1" ht="22.5" spans="1:14">
      <c r="A11" s="35"/>
      <c r="B11" s="35" t="s">
        <v>25</v>
      </c>
      <c r="C11" s="40" t="s">
        <v>26</v>
      </c>
      <c r="D11" s="41" t="s">
        <v>27</v>
      </c>
      <c r="E11" s="35">
        <v>25</v>
      </c>
      <c r="F11" s="37"/>
      <c r="G11" s="42"/>
      <c r="H11" s="42"/>
      <c r="I11" s="38">
        <v>85</v>
      </c>
      <c r="J11" s="38">
        <f t="shared" si="0"/>
        <v>2125</v>
      </c>
      <c r="K11" s="40" t="s">
        <v>28</v>
      </c>
      <c r="L11" s="8"/>
      <c r="M11" s="8"/>
      <c r="N11" s="8"/>
    </row>
    <row r="12" s="5" customFormat="1" ht="22.5" spans="1:14">
      <c r="A12" s="35"/>
      <c r="B12" s="35" t="s">
        <v>25</v>
      </c>
      <c r="C12" s="40" t="s">
        <v>29</v>
      </c>
      <c r="D12" s="41" t="s">
        <v>27</v>
      </c>
      <c r="E12" s="35">
        <v>11.5</v>
      </c>
      <c r="F12" s="37"/>
      <c r="G12" s="42"/>
      <c r="H12" s="42"/>
      <c r="I12" s="38">
        <v>65</v>
      </c>
      <c r="J12" s="38">
        <f t="shared" si="0"/>
        <v>747.5</v>
      </c>
      <c r="K12" s="40" t="s">
        <v>28</v>
      </c>
      <c r="L12" s="8"/>
      <c r="M12" s="8"/>
      <c r="N12" s="8"/>
    </row>
    <row r="13" s="6" customFormat="1" ht="32" customHeight="1" spans="1:14">
      <c r="A13" s="43"/>
      <c r="B13" s="44"/>
      <c r="C13" s="45"/>
      <c r="D13" s="46"/>
      <c r="E13" s="44"/>
      <c r="F13" s="47"/>
      <c r="G13" s="48"/>
      <c r="H13" s="48"/>
      <c r="I13" s="49"/>
      <c r="J13" s="49">
        <f>SUM(J7:J12)</f>
        <v>17798.5</v>
      </c>
      <c r="K13" s="50"/>
      <c r="L13" s="8"/>
      <c r="M13" s="8"/>
      <c r="N13" s="8"/>
    </row>
    <row r="14" ht="16" customHeight="1" spans="1:14">
      <c r="A14" s="32" t="s">
        <v>30</v>
      </c>
      <c r="B14" s="33"/>
      <c r="C14" s="33"/>
      <c r="D14" s="33"/>
      <c r="E14" s="33"/>
      <c r="F14" s="33"/>
      <c r="G14" s="33"/>
      <c r="H14" s="33"/>
      <c r="I14" s="33"/>
      <c r="J14" s="33"/>
      <c r="K14" s="34"/>
    </row>
    <row r="15" s="3" customFormat="1" ht="33.75" spans="1:14">
      <c r="A15" s="35"/>
      <c r="B15" s="35" t="s">
        <v>31</v>
      </c>
      <c r="C15" s="36" t="s">
        <v>32</v>
      </c>
      <c r="D15" s="35" t="s">
        <v>15</v>
      </c>
      <c r="E15" s="35">
        <v>28</v>
      </c>
      <c r="F15" s="37"/>
      <c r="G15" s="37"/>
      <c r="H15" s="37"/>
      <c r="I15" s="38">
        <v>25</v>
      </c>
      <c r="J15" s="38">
        <f>E15*I15</f>
        <v>700</v>
      </c>
      <c r="K15" s="36" t="s">
        <v>33</v>
      </c>
      <c r="L15" s="8"/>
      <c r="M15" s="8"/>
      <c r="N15" s="8"/>
    </row>
    <row r="16" s="3" customFormat="1" ht="34.5" customHeight="1" spans="1:14">
      <c r="A16" s="35"/>
      <c r="B16" s="35" t="s">
        <v>13</v>
      </c>
      <c r="C16" s="36" t="s">
        <v>17</v>
      </c>
      <c r="D16" s="35" t="s">
        <v>15</v>
      </c>
      <c r="E16" s="35">
        <v>28</v>
      </c>
      <c r="F16" s="37"/>
      <c r="G16" s="37"/>
      <c r="H16" s="37"/>
      <c r="I16" s="38">
        <v>30</v>
      </c>
      <c r="J16" s="38">
        <f>E16*I16</f>
        <v>840</v>
      </c>
      <c r="K16" s="39"/>
      <c r="L16" s="4"/>
      <c r="M16" s="4"/>
      <c r="N16" s="4"/>
    </row>
    <row r="17" s="5" customFormat="1" ht="22.5" spans="1:14">
      <c r="A17" s="35"/>
      <c r="B17" s="35" t="s">
        <v>34</v>
      </c>
      <c r="C17" s="40" t="s">
        <v>35</v>
      </c>
      <c r="D17" s="41" t="s">
        <v>36</v>
      </c>
      <c r="E17" s="35">
        <v>2</v>
      </c>
      <c r="F17" s="37"/>
      <c r="G17" s="42"/>
      <c r="H17" s="42"/>
      <c r="I17" s="38">
        <v>160</v>
      </c>
      <c r="J17" s="38">
        <f>E17*I17</f>
        <v>320</v>
      </c>
      <c r="K17" s="40" t="s">
        <v>37</v>
      </c>
      <c r="L17" s="8"/>
      <c r="M17" s="8"/>
      <c r="N17" s="8"/>
    </row>
    <row r="18" s="5" customFormat="1" ht="33.75" spans="1:14">
      <c r="A18" s="35"/>
      <c r="B18" s="35" t="s">
        <v>38</v>
      </c>
      <c r="C18" s="40" t="s">
        <v>39</v>
      </c>
      <c r="D18" s="41" t="s">
        <v>40</v>
      </c>
      <c r="E18" s="35">
        <v>1</v>
      </c>
      <c r="F18" s="37"/>
      <c r="G18" s="42"/>
      <c r="H18" s="42"/>
      <c r="I18" s="38">
        <v>1500</v>
      </c>
      <c r="J18" s="38">
        <f>E18*I18</f>
        <v>1500</v>
      </c>
      <c r="K18" s="51" t="s">
        <v>41</v>
      </c>
      <c r="L18" s="8"/>
      <c r="M18" s="8"/>
      <c r="N18" s="8"/>
    </row>
    <row r="19" s="5" customFormat="1" ht="30" customHeight="1" spans="1:14">
      <c r="A19" s="35"/>
      <c r="B19" s="41" t="s">
        <v>42</v>
      </c>
      <c r="C19" s="40" t="s">
        <v>43</v>
      </c>
      <c r="D19" s="41" t="s">
        <v>27</v>
      </c>
      <c r="E19" s="35">
        <v>1</v>
      </c>
      <c r="F19" s="37"/>
      <c r="G19" s="42"/>
      <c r="H19" s="42"/>
      <c r="I19" s="38">
        <v>65</v>
      </c>
      <c r="J19" s="38">
        <f>E19*I19</f>
        <v>65</v>
      </c>
      <c r="K19" s="51" t="s">
        <v>44</v>
      </c>
      <c r="L19" s="8"/>
      <c r="M19" s="8"/>
      <c r="N19" s="8"/>
    </row>
    <row r="20" s="5" customFormat="1" ht="30" customHeight="1" spans="1:14">
      <c r="A20" s="43"/>
      <c r="B20" s="46"/>
      <c r="C20" s="45"/>
      <c r="D20" s="46"/>
      <c r="E20" s="44"/>
      <c r="F20" s="47"/>
      <c r="G20" s="48"/>
      <c r="H20" s="48"/>
      <c r="I20" s="49"/>
      <c r="J20" s="49">
        <f>SUM(J15:J19)</f>
        <v>3425</v>
      </c>
      <c r="K20" s="52"/>
      <c r="L20" s="8"/>
      <c r="M20" s="8"/>
      <c r="N20" s="8"/>
    </row>
    <row r="21" s="7" customFormat="1" ht="16" customHeight="1" spans="1:14">
      <c r="A21" s="32" t="s">
        <v>45</v>
      </c>
      <c r="B21" s="33"/>
      <c r="C21" s="33"/>
      <c r="D21" s="33"/>
      <c r="E21" s="33"/>
      <c r="F21" s="33"/>
      <c r="G21" s="33"/>
      <c r="H21" s="33"/>
      <c r="I21" s="33"/>
      <c r="J21" s="33"/>
      <c r="K21" s="34"/>
    </row>
    <row r="22" s="3" customFormat="1" ht="33" customHeight="1" spans="1:14">
      <c r="A22" s="35"/>
      <c r="B22" s="35" t="s">
        <v>31</v>
      </c>
      <c r="C22" s="36" t="s">
        <v>46</v>
      </c>
      <c r="D22" s="35" t="s">
        <v>15</v>
      </c>
      <c r="E22" s="35">
        <v>24</v>
      </c>
      <c r="F22" s="37"/>
      <c r="G22" s="37"/>
      <c r="H22" s="37"/>
      <c r="I22" s="38">
        <v>48</v>
      </c>
      <c r="J22" s="38">
        <f>E22*I22</f>
        <v>1152</v>
      </c>
      <c r="K22" s="36" t="s">
        <v>47</v>
      </c>
      <c r="L22" s="8"/>
      <c r="M22" s="8"/>
      <c r="N22" s="8"/>
    </row>
    <row r="23" s="3" customFormat="1" ht="34.5" customHeight="1" spans="1:14">
      <c r="A23" s="35"/>
      <c r="B23" s="35" t="s">
        <v>13</v>
      </c>
      <c r="C23" s="36" t="s">
        <v>17</v>
      </c>
      <c r="D23" s="35" t="s">
        <v>15</v>
      </c>
      <c r="E23" s="35">
        <v>24</v>
      </c>
      <c r="F23" s="37"/>
      <c r="G23" s="37"/>
      <c r="H23" s="37"/>
      <c r="I23" s="38">
        <v>35</v>
      </c>
      <c r="J23" s="38">
        <f>E23*I23</f>
        <v>840</v>
      </c>
      <c r="K23" s="39"/>
      <c r="L23" s="4"/>
      <c r="M23" s="4"/>
      <c r="N23" s="4"/>
    </row>
    <row r="24" s="5" customFormat="1" ht="22.5" spans="1:14">
      <c r="A24" s="35"/>
      <c r="B24" s="35" t="s">
        <v>34</v>
      </c>
      <c r="C24" s="40" t="s">
        <v>48</v>
      </c>
      <c r="D24" s="41" t="s">
        <v>36</v>
      </c>
      <c r="E24" s="35">
        <v>1</v>
      </c>
      <c r="F24" s="37"/>
      <c r="G24" s="42"/>
      <c r="H24" s="42"/>
      <c r="I24" s="38">
        <v>160</v>
      </c>
      <c r="J24" s="38">
        <f>E24*I24</f>
        <v>160</v>
      </c>
      <c r="K24" s="40" t="s">
        <v>49</v>
      </c>
      <c r="L24" s="8"/>
      <c r="M24" s="8"/>
      <c r="N24" s="8"/>
    </row>
    <row r="25" s="5" customFormat="1" ht="22.5" spans="1:14">
      <c r="A25" s="35"/>
      <c r="B25" s="35" t="s">
        <v>34</v>
      </c>
      <c r="C25" s="40" t="s">
        <v>50</v>
      </c>
      <c r="D25" s="41" t="s">
        <v>27</v>
      </c>
      <c r="E25" s="35">
        <v>2</v>
      </c>
      <c r="F25" s="37"/>
      <c r="G25" s="42"/>
      <c r="H25" s="42"/>
      <c r="I25" s="38">
        <v>75</v>
      </c>
      <c r="J25" s="38">
        <f t="shared" ref="J25:J33" si="1">E25*I25</f>
        <v>150</v>
      </c>
      <c r="K25" s="40" t="s">
        <v>49</v>
      </c>
      <c r="L25" s="8"/>
      <c r="M25" s="8"/>
      <c r="N25" s="8"/>
    </row>
    <row r="26" s="6" customFormat="1" ht="28" customHeight="1" spans="1:14">
      <c r="A26" s="43"/>
      <c r="B26" s="44"/>
      <c r="C26" s="45"/>
      <c r="D26" s="46"/>
      <c r="E26" s="44"/>
      <c r="F26" s="47"/>
      <c r="G26" s="48"/>
      <c r="H26" s="48"/>
      <c r="I26" s="49"/>
      <c r="J26" s="49">
        <f>SUM(J22:J25)</f>
        <v>2302</v>
      </c>
      <c r="K26" s="50"/>
      <c r="L26" s="8"/>
      <c r="M26" s="8"/>
      <c r="N26" s="8"/>
    </row>
    <row r="27" ht="15" customHeight="1" spans="1:14">
      <c r="A27" s="32" t="s">
        <v>51</v>
      </c>
      <c r="B27" s="33"/>
      <c r="C27" s="33"/>
      <c r="D27" s="33"/>
      <c r="E27" s="33"/>
      <c r="F27" s="33"/>
      <c r="G27" s="33"/>
      <c r="H27" s="33"/>
      <c r="I27" s="33"/>
      <c r="J27" s="33"/>
      <c r="K27" s="34"/>
    </row>
    <row r="28" ht="22.5" spans="1:14">
      <c r="A28" s="35"/>
      <c r="B28" s="35" t="s">
        <v>19</v>
      </c>
      <c r="C28" s="40" t="s">
        <v>20</v>
      </c>
      <c r="D28" s="41" t="s">
        <v>15</v>
      </c>
      <c r="E28" s="35">
        <v>85</v>
      </c>
      <c r="F28" s="37"/>
      <c r="G28" s="42"/>
      <c r="H28" s="42"/>
      <c r="I28" s="38">
        <v>38</v>
      </c>
      <c r="J28" s="38">
        <f t="shared" si="1"/>
        <v>3230</v>
      </c>
      <c r="K28" s="40" t="s">
        <v>21</v>
      </c>
    </row>
    <row r="29" s="4" customFormat="1" ht="24" customHeight="1" spans="1:14">
      <c r="A29" s="35"/>
      <c r="B29" s="35" t="s">
        <v>22</v>
      </c>
      <c r="C29" s="36" t="s">
        <v>52</v>
      </c>
      <c r="D29" s="35" t="s">
        <v>15</v>
      </c>
      <c r="E29" s="35">
        <v>8</v>
      </c>
      <c r="F29" s="37"/>
      <c r="G29" s="37"/>
      <c r="H29" s="37"/>
      <c r="I29" s="38">
        <v>128</v>
      </c>
      <c r="J29" s="38">
        <f t="shared" si="1"/>
        <v>1024</v>
      </c>
      <c r="K29" s="36" t="s">
        <v>53</v>
      </c>
    </row>
    <row r="30" s="3" customFormat="1" ht="33.75" spans="1:14">
      <c r="A30" s="35"/>
      <c r="B30" s="35" t="s">
        <v>31</v>
      </c>
      <c r="C30" s="36" t="s">
        <v>54</v>
      </c>
      <c r="D30" s="35" t="s">
        <v>15</v>
      </c>
      <c r="E30" s="35">
        <v>26</v>
      </c>
      <c r="F30" s="37"/>
      <c r="G30" s="37"/>
      <c r="H30" s="37"/>
      <c r="I30" s="38">
        <v>65</v>
      </c>
      <c r="J30" s="38">
        <f t="shared" si="1"/>
        <v>1690</v>
      </c>
      <c r="K30" s="36" t="s">
        <v>55</v>
      </c>
      <c r="L30" s="8"/>
      <c r="M30" s="8"/>
      <c r="N30" s="8"/>
    </row>
    <row r="31" s="3" customFormat="1" ht="34.5" customHeight="1" spans="1:14">
      <c r="A31" s="35"/>
      <c r="B31" s="35" t="s">
        <v>13</v>
      </c>
      <c r="C31" s="36" t="s">
        <v>17</v>
      </c>
      <c r="D31" s="35" t="s">
        <v>15</v>
      </c>
      <c r="E31" s="35">
        <v>26</v>
      </c>
      <c r="F31" s="37"/>
      <c r="G31" s="37"/>
      <c r="H31" s="37"/>
      <c r="I31" s="38">
        <v>35</v>
      </c>
      <c r="J31" s="38">
        <f t="shared" si="1"/>
        <v>910</v>
      </c>
      <c r="K31" s="39"/>
      <c r="L31" s="4"/>
      <c r="M31" s="4"/>
      <c r="N31" s="4"/>
    </row>
    <row r="32" s="5" customFormat="1" ht="22.5" spans="1:14">
      <c r="A32" s="35"/>
      <c r="B32" s="35" t="s">
        <v>25</v>
      </c>
      <c r="C32" s="40" t="s">
        <v>56</v>
      </c>
      <c r="D32" s="41" t="s">
        <v>27</v>
      </c>
      <c r="E32" s="35">
        <v>12</v>
      </c>
      <c r="F32" s="37"/>
      <c r="G32" s="42"/>
      <c r="H32" s="42"/>
      <c r="I32" s="38">
        <v>75</v>
      </c>
      <c r="J32" s="38">
        <f t="shared" si="1"/>
        <v>900</v>
      </c>
      <c r="K32" s="40" t="s">
        <v>28</v>
      </c>
      <c r="L32" s="8"/>
      <c r="M32" s="8"/>
      <c r="N32" s="8"/>
    </row>
    <row r="33" s="5" customFormat="1" ht="22.5" spans="1:14">
      <c r="A33" s="35"/>
      <c r="B33" s="35" t="s">
        <v>25</v>
      </c>
      <c r="C33" s="40" t="s">
        <v>29</v>
      </c>
      <c r="D33" s="41" t="s">
        <v>27</v>
      </c>
      <c r="E33" s="35">
        <v>6.3</v>
      </c>
      <c r="F33" s="37"/>
      <c r="G33" s="42"/>
      <c r="H33" s="42"/>
      <c r="I33" s="38">
        <v>65</v>
      </c>
      <c r="J33" s="38">
        <f t="shared" si="1"/>
        <v>409.5</v>
      </c>
      <c r="K33" s="40" t="s">
        <v>28</v>
      </c>
      <c r="L33" s="8"/>
      <c r="M33" s="8"/>
      <c r="N33" s="8"/>
    </row>
    <row r="34" s="6" customFormat="1" ht="34" customHeight="1" spans="1:14">
      <c r="A34" s="43"/>
      <c r="B34" s="44"/>
      <c r="C34" s="45"/>
      <c r="D34" s="46"/>
      <c r="E34" s="44"/>
      <c r="F34" s="47"/>
      <c r="G34" s="48"/>
      <c r="H34" s="48"/>
      <c r="I34" s="49"/>
      <c r="J34" s="49">
        <f>SUM(J28:J33)</f>
        <v>8163.5</v>
      </c>
      <c r="K34" s="50"/>
      <c r="L34" s="8"/>
      <c r="M34" s="8"/>
      <c r="N34" s="8"/>
    </row>
    <row r="35" ht="16" customHeight="1" spans="1:14">
      <c r="A35" s="32" t="s">
        <v>57</v>
      </c>
      <c r="B35" s="33"/>
      <c r="C35" s="33"/>
      <c r="D35" s="33"/>
      <c r="E35" s="33"/>
      <c r="F35" s="33"/>
      <c r="G35" s="33"/>
      <c r="H35" s="33"/>
      <c r="I35" s="33"/>
      <c r="J35" s="33"/>
      <c r="K35" s="34"/>
    </row>
    <row r="36" s="5" customFormat="1" ht="37.5" customHeight="1" spans="1:14">
      <c r="A36" s="35"/>
      <c r="B36" s="35" t="s">
        <v>31</v>
      </c>
      <c r="C36" s="36" t="s">
        <v>32</v>
      </c>
      <c r="D36" s="35" t="s">
        <v>15</v>
      </c>
      <c r="E36" s="35">
        <v>30</v>
      </c>
      <c r="F36" s="37"/>
      <c r="G36" s="37"/>
      <c r="H36" s="37"/>
      <c r="I36" s="38">
        <v>25</v>
      </c>
      <c r="J36" s="38">
        <f>E36*I36</f>
        <v>750</v>
      </c>
      <c r="K36" s="36" t="s">
        <v>47</v>
      </c>
      <c r="L36" s="8"/>
      <c r="M36" s="8"/>
      <c r="N36" s="8"/>
    </row>
    <row r="37" s="4" customFormat="1" ht="24" customHeight="1" spans="1:14">
      <c r="A37" s="35"/>
      <c r="B37" s="35" t="s">
        <v>13</v>
      </c>
      <c r="C37" s="36" t="s">
        <v>17</v>
      </c>
      <c r="D37" s="35" t="s">
        <v>15</v>
      </c>
      <c r="E37" s="35">
        <v>30</v>
      </c>
      <c r="F37" s="37"/>
      <c r="G37" s="37"/>
      <c r="H37" s="37"/>
      <c r="I37" s="38">
        <v>30</v>
      </c>
      <c r="J37" s="38">
        <f>E37*I37</f>
        <v>900</v>
      </c>
      <c r="K37" s="39"/>
    </row>
    <row r="38" s="5" customFormat="1" ht="22.5" spans="1:14">
      <c r="A38" s="35"/>
      <c r="B38" s="35" t="s">
        <v>34</v>
      </c>
      <c r="C38" s="40" t="s">
        <v>48</v>
      </c>
      <c r="D38" s="41" t="s">
        <v>36</v>
      </c>
      <c r="E38" s="35">
        <v>2</v>
      </c>
      <c r="F38" s="37"/>
      <c r="G38" s="42"/>
      <c r="H38" s="42"/>
      <c r="I38" s="38">
        <v>160</v>
      </c>
      <c r="J38" s="38">
        <f>E38*I38</f>
        <v>320</v>
      </c>
      <c r="K38" s="40" t="s">
        <v>58</v>
      </c>
      <c r="L38" s="8"/>
      <c r="M38" s="8"/>
      <c r="N38" s="8"/>
    </row>
    <row r="39" s="8" customFormat="1" ht="33.75" spans="1:14">
      <c r="A39" s="35"/>
      <c r="B39" s="35" t="s">
        <v>38</v>
      </c>
      <c r="C39" s="40" t="s">
        <v>39</v>
      </c>
      <c r="D39" s="41" t="s">
        <v>40</v>
      </c>
      <c r="E39" s="35">
        <v>1</v>
      </c>
      <c r="F39" s="37"/>
      <c r="G39" s="42"/>
      <c r="H39" s="42"/>
      <c r="I39" s="38">
        <v>1500</v>
      </c>
      <c r="J39" s="38">
        <f>E39*I39</f>
        <v>1500</v>
      </c>
      <c r="K39" s="51" t="s">
        <v>41</v>
      </c>
    </row>
    <row r="40" s="3" customFormat="1" ht="34.5" customHeight="1" spans="1:14">
      <c r="A40" s="35"/>
      <c r="B40" s="41" t="s">
        <v>42</v>
      </c>
      <c r="C40" s="40" t="s">
        <v>59</v>
      </c>
      <c r="D40" s="41" t="s">
        <v>27</v>
      </c>
      <c r="E40" s="35">
        <v>1</v>
      </c>
      <c r="F40" s="37"/>
      <c r="G40" s="42"/>
      <c r="H40" s="42"/>
      <c r="I40" s="38">
        <v>65</v>
      </c>
      <c r="J40" s="38">
        <f>E40*I40</f>
        <v>65</v>
      </c>
      <c r="K40" s="51"/>
      <c r="L40" s="4"/>
      <c r="M40" s="4"/>
      <c r="N40" s="4"/>
    </row>
    <row r="41" s="5" customFormat="1" ht="29" customHeight="1" spans="1:14">
      <c r="A41" s="43"/>
      <c r="B41" s="44"/>
      <c r="C41" s="45"/>
      <c r="D41" s="46"/>
      <c r="E41" s="44"/>
      <c r="F41" s="47"/>
      <c r="G41" s="48"/>
      <c r="H41" s="48"/>
      <c r="I41" s="49"/>
      <c r="J41" s="49">
        <f>SUM(J36:J40)</f>
        <v>3535</v>
      </c>
      <c r="K41" s="50"/>
      <c r="L41" s="8"/>
      <c r="M41" s="8"/>
      <c r="N41" s="8"/>
    </row>
    <row r="42" s="5" customFormat="1" ht="17" customHeight="1" spans="1:14">
      <c r="A42" s="32" t="s">
        <v>60</v>
      </c>
      <c r="B42" s="33"/>
      <c r="C42" s="33"/>
      <c r="D42" s="33"/>
      <c r="E42" s="33"/>
      <c r="F42" s="33"/>
      <c r="G42" s="33"/>
      <c r="H42" s="33"/>
      <c r="I42" s="33"/>
      <c r="J42" s="33"/>
      <c r="K42" s="34"/>
      <c r="L42" s="8"/>
      <c r="M42" s="8"/>
      <c r="N42" s="8"/>
    </row>
    <row r="43" ht="29" customHeight="1" spans="1:14">
      <c r="A43" s="35"/>
      <c r="B43" s="35" t="s">
        <v>19</v>
      </c>
      <c r="C43" s="40" t="s">
        <v>20</v>
      </c>
      <c r="D43" s="41" t="s">
        <v>15</v>
      </c>
      <c r="E43" s="35">
        <v>46</v>
      </c>
      <c r="F43" s="37"/>
      <c r="G43" s="42"/>
      <c r="H43" s="42"/>
      <c r="I43" s="38">
        <v>38</v>
      </c>
      <c r="J43" s="38">
        <f t="shared" ref="J43:J48" si="2">E43*I43</f>
        <v>1748</v>
      </c>
      <c r="K43" s="40" t="s">
        <v>21</v>
      </c>
    </row>
    <row r="44" s="5" customFormat="1" ht="37.5" customHeight="1" spans="1:14">
      <c r="A44" s="35"/>
      <c r="B44" s="35" t="s">
        <v>22</v>
      </c>
      <c r="C44" s="36" t="s">
        <v>52</v>
      </c>
      <c r="D44" s="35" t="s">
        <v>15</v>
      </c>
      <c r="E44" s="35">
        <v>5</v>
      </c>
      <c r="F44" s="37"/>
      <c r="G44" s="37"/>
      <c r="H44" s="37"/>
      <c r="I44" s="38">
        <v>128</v>
      </c>
      <c r="J44" s="38">
        <f t="shared" si="2"/>
        <v>640</v>
      </c>
      <c r="K44" s="36" t="s">
        <v>28</v>
      </c>
      <c r="L44" s="8"/>
      <c r="M44" s="8"/>
      <c r="N44" s="8"/>
    </row>
    <row r="45" s="4" customFormat="1" ht="24" customHeight="1" spans="1:14">
      <c r="A45" s="35"/>
      <c r="B45" s="35" t="s">
        <v>25</v>
      </c>
      <c r="C45" s="40" t="s">
        <v>56</v>
      </c>
      <c r="D45" s="41" t="s">
        <v>27</v>
      </c>
      <c r="E45" s="35">
        <v>7</v>
      </c>
      <c r="F45" s="37"/>
      <c r="G45" s="42"/>
      <c r="H45" s="42"/>
      <c r="I45" s="38">
        <v>75</v>
      </c>
      <c r="J45" s="38">
        <f t="shared" si="2"/>
        <v>525</v>
      </c>
      <c r="K45" s="40" t="s">
        <v>28</v>
      </c>
    </row>
    <row r="46" s="3" customFormat="1" ht="33.75" spans="1:14">
      <c r="A46" s="35"/>
      <c r="B46" s="35" t="s">
        <v>31</v>
      </c>
      <c r="C46" s="36" t="s">
        <v>54</v>
      </c>
      <c r="D46" s="35" t="s">
        <v>15</v>
      </c>
      <c r="E46" s="35">
        <v>8.4</v>
      </c>
      <c r="F46" s="37"/>
      <c r="G46" s="37"/>
      <c r="H46" s="37"/>
      <c r="I46" s="38">
        <v>65</v>
      </c>
      <c r="J46" s="38">
        <f t="shared" si="2"/>
        <v>546</v>
      </c>
      <c r="K46" s="36" t="s">
        <v>55</v>
      </c>
      <c r="L46" s="8"/>
      <c r="M46" s="8"/>
      <c r="N46" s="8"/>
    </row>
    <row r="47" s="3" customFormat="1" ht="34.5" customHeight="1" spans="1:14">
      <c r="A47" s="35"/>
      <c r="B47" s="35" t="s">
        <v>13</v>
      </c>
      <c r="C47" s="36" t="s">
        <v>17</v>
      </c>
      <c r="D47" s="35" t="s">
        <v>15</v>
      </c>
      <c r="E47" s="35">
        <v>8.4</v>
      </c>
      <c r="F47" s="37"/>
      <c r="G47" s="37"/>
      <c r="H47" s="37"/>
      <c r="I47" s="38">
        <v>35</v>
      </c>
      <c r="J47" s="38">
        <f t="shared" si="2"/>
        <v>294</v>
      </c>
      <c r="K47" s="39"/>
      <c r="L47" s="4"/>
      <c r="M47" s="4"/>
      <c r="N47" s="4"/>
    </row>
    <row r="48" s="5" customFormat="1" ht="22.5" spans="1:14">
      <c r="A48" s="35"/>
      <c r="B48" s="35" t="s">
        <v>25</v>
      </c>
      <c r="C48" s="40" t="s">
        <v>29</v>
      </c>
      <c r="D48" s="41" t="s">
        <v>27</v>
      </c>
      <c r="E48" s="35">
        <v>3</v>
      </c>
      <c r="F48" s="37"/>
      <c r="G48" s="42"/>
      <c r="H48" s="42"/>
      <c r="I48" s="38">
        <v>78</v>
      </c>
      <c r="J48" s="38">
        <f t="shared" si="2"/>
        <v>234</v>
      </c>
      <c r="K48" s="40" t="s">
        <v>28</v>
      </c>
      <c r="L48" s="8"/>
      <c r="M48" s="8"/>
      <c r="N48" s="8"/>
    </row>
    <row r="49" s="5" customFormat="1" ht="29" customHeight="1" spans="1:14">
      <c r="A49" s="43"/>
      <c r="B49" s="44"/>
      <c r="C49" s="45"/>
      <c r="D49" s="46"/>
      <c r="E49" s="44"/>
      <c r="F49" s="47"/>
      <c r="G49" s="48"/>
      <c r="H49" s="48"/>
      <c r="I49" s="49"/>
      <c r="J49" s="49">
        <f>SUM(J43:J48)</f>
        <v>3987</v>
      </c>
      <c r="K49" s="50"/>
      <c r="L49" s="8"/>
      <c r="M49" s="8"/>
      <c r="N49" s="8"/>
    </row>
    <row r="50" s="5" customFormat="1" ht="15" customHeight="1" spans="1:14">
      <c r="A50" s="32" t="s">
        <v>61</v>
      </c>
      <c r="B50" s="33"/>
      <c r="C50" s="33"/>
      <c r="D50" s="33"/>
      <c r="E50" s="33"/>
      <c r="F50" s="33"/>
      <c r="G50" s="33"/>
      <c r="H50" s="33"/>
      <c r="I50" s="33"/>
      <c r="J50" s="33"/>
      <c r="K50" s="34"/>
      <c r="L50" s="8"/>
      <c r="M50" s="8"/>
      <c r="N50" s="8"/>
    </row>
    <row r="51" ht="24" customHeight="1" spans="1:14">
      <c r="A51" s="35"/>
      <c r="B51" s="35" t="s">
        <v>19</v>
      </c>
      <c r="C51" s="40" t="s">
        <v>20</v>
      </c>
      <c r="D51" s="41" t="s">
        <v>15</v>
      </c>
      <c r="E51" s="35">
        <v>56</v>
      </c>
      <c r="F51" s="37"/>
      <c r="G51" s="42"/>
      <c r="H51" s="42"/>
      <c r="I51" s="38">
        <v>38</v>
      </c>
      <c r="J51" s="38">
        <f t="shared" ref="J51:J55" si="3">E51*I51</f>
        <v>2128</v>
      </c>
      <c r="K51" s="40" t="s">
        <v>62</v>
      </c>
    </row>
    <row r="52" customFormat="1" ht="22.5" spans="1:14">
      <c r="A52" s="35"/>
      <c r="B52" s="35" t="s">
        <v>22</v>
      </c>
      <c r="C52" s="36" t="s">
        <v>52</v>
      </c>
      <c r="D52" s="35" t="s">
        <v>15</v>
      </c>
      <c r="E52" s="35">
        <v>6</v>
      </c>
      <c r="F52" s="37"/>
      <c r="G52" s="37"/>
      <c r="H52" s="37"/>
      <c r="I52" s="38">
        <v>138</v>
      </c>
      <c r="J52" s="38">
        <f t="shared" si="3"/>
        <v>828</v>
      </c>
      <c r="K52" s="36" t="s">
        <v>28</v>
      </c>
      <c r="N52" t="s">
        <v>63</v>
      </c>
    </row>
    <row r="53" customFormat="1" ht="22.5" spans="1:14">
      <c r="A53" s="35"/>
      <c r="B53" s="35" t="s">
        <v>25</v>
      </c>
      <c r="C53" s="40" t="s">
        <v>56</v>
      </c>
      <c r="D53" s="41" t="s">
        <v>27</v>
      </c>
      <c r="E53" s="35">
        <v>7</v>
      </c>
      <c r="F53" s="37"/>
      <c r="G53" s="42"/>
      <c r="H53" s="42"/>
      <c r="I53" s="38">
        <v>75</v>
      </c>
      <c r="J53" s="38">
        <f t="shared" si="3"/>
        <v>525</v>
      </c>
      <c r="K53" s="40" t="s">
        <v>28</v>
      </c>
    </row>
    <row r="54" s="3" customFormat="1" ht="33.75" spans="1:14">
      <c r="A54" s="35"/>
      <c r="B54" s="35" t="s">
        <v>31</v>
      </c>
      <c r="C54" s="36" t="s">
        <v>54</v>
      </c>
      <c r="D54" s="35" t="s">
        <v>15</v>
      </c>
      <c r="E54" s="35">
        <v>12.3</v>
      </c>
      <c r="F54" s="37"/>
      <c r="G54" s="37"/>
      <c r="H54" s="37"/>
      <c r="I54" s="38">
        <v>65</v>
      </c>
      <c r="J54" s="38">
        <f t="shared" si="3"/>
        <v>799.5</v>
      </c>
      <c r="K54" s="36" t="s">
        <v>55</v>
      </c>
      <c r="L54" s="8"/>
      <c r="M54" s="8"/>
      <c r="N54" s="8"/>
    </row>
    <row r="55" customFormat="1" ht="22.5" spans="1:14">
      <c r="A55" s="35"/>
      <c r="B55" s="35" t="s">
        <v>13</v>
      </c>
      <c r="C55" s="36" t="s">
        <v>17</v>
      </c>
      <c r="D55" s="35" t="s">
        <v>15</v>
      </c>
      <c r="E55" s="35">
        <v>11</v>
      </c>
      <c r="F55" s="37"/>
      <c r="G55" s="37"/>
      <c r="H55" s="37"/>
      <c r="I55" s="38">
        <v>35</v>
      </c>
      <c r="J55" s="38">
        <f t="shared" si="3"/>
        <v>385</v>
      </c>
      <c r="K55" s="39"/>
      <c r="L55" s="7"/>
      <c r="M55" s="7"/>
      <c r="N55" s="7"/>
    </row>
    <row r="56" ht="21.75" customHeight="1" spans="1:14">
      <c r="A56" s="43"/>
      <c r="B56" s="44"/>
      <c r="C56" s="45"/>
      <c r="D56" s="46"/>
      <c r="E56" s="44"/>
      <c r="F56" s="47"/>
      <c r="G56" s="48"/>
      <c r="H56" s="48"/>
      <c r="I56" s="49"/>
      <c r="J56" s="49">
        <f>SUM(J51:J55)</f>
        <v>4665.5</v>
      </c>
      <c r="K56" s="50"/>
    </row>
    <row r="57" customFormat="1" ht="21" customHeight="1" spans="1:14">
      <c r="A57" s="32" t="s">
        <v>64</v>
      </c>
      <c r="B57" s="33"/>
      <c r="C57" s="33"/>
      <c r="D57" s="33"/>
      <c r="E57" s="33"/>
      <c r="F57" s="33"/>
      <c r="G57" s="33"/>
      <c r="H57" s="33"/>
      <c r="I57" s="33"/>
      <c r="J57" s="33"/>
      <c r="K57" s="34"/>
    </row>
    <row r="58" s="7" customFormat="1" ht="33.75" spans="1:14">
      <c r="A58" s="35"/>
      <c r="B58" s="35" t="s">
        <v>31</v>
      </c>
      <c r="C58" s="36" t="s">
        <v>32</v>
      </c>
      <c r="D58" s="35" t="s">
        <v>15</v>
      </c>
      <c r="E58" s="35">
        <v>22</v>
      </c>
      <c r="F58" s="37"/>
      <c r="G58" s="37"/>
      <c r="H58" s="37"/>
      <c r="I58" s="38">
        <v>25</v>
      </c>
      <c r="J58" s="38">
        <f t="shared" ref="J58:J62" si="4">E58*I58</f>
        <v>550</v>
      </c>
      <c r="K58" s="36" t="s">
        <v>33</v>
      </c>
    </row>
    <row r="59" ht="22.5" spans="1:14">
      <c r="A59" s="35"/>
      <c r="B59" s="35" t="s">
        <v>13</v>
      </c>
      <c r="C59" s="36" t="s">
        <v>17</v>
      </c>
      <c r="D59" s="35" t="s">
        <v>15</v>
      </c>
      <c r="E59" s="35">
        <v>22</v>
      </c>
      <c r="F59" s="37"/>
      <c r="G59" s="37"/>
      <c r="H59" s="37"/>
      <c r="I59" s="38">
        <v>30</v>
      </c>
      <c r="J59" s="38">
        <f t="shared" si="4"/>
        <v>660</v>
      </c>
      <c r="K59" s="39"/>
    </row>
    <row r="60" ht="22.5" spans="1:14">
      <c r="A60" s="35"/>
      <c r="B60" s="35" t="s">
        <v>34</v>
      </c>
      <c r="C60" s="40" t="s">
        <v>35</v>
      </c>
      <c r="D60" s="41" t="s">
        <v>36</v>
      </c>
      <c r="E60" s="35">
        <v>2</v>
      </c>
      <c r="F60" s="37"/>
      <c r="G60" s="42"/>
      <c r="H60" s="42"/>
      <c r="I60" s="38">
        <v>160</v>
      </c>
      <c r="J60" s="38">
        <f t="shared" si="4"/>
        <v>320</v>
      </c>
      <c r="K60" s="40" t="s">
        <v>37</v>
      </c>
    </row>
    <row r="61" customFormat="1" ht="33.75" spans="1:14">
      <c r="A61" s="35"/>
      <c r="B61" s="35" t="s">
        <v>38</v>
      </c>
      <c r="C61" s="40" t="s">
        <v>39</v>
      </c>
      <c r="D61" s="41" t="s">
        <v>40</v>
      </c>
      <c r="E61" s="35">
        <v>1</v>
      </c>
      <c r="F61" s="37"/>
      <c r="G61" s="42"/>
      <c r="H61" s="42"/>
      <c r="I61" s="38">
        <v>1500</v>
      </c>
      <c r="J61" s="38">
        <f t="shared" si="4"/>
        <v>1500</v>
      </c>
      <c r="K61" s="51" t="s">
        <v>41</v>
      </c>
    </row>
    <row r="62" customFormat="1" ht="22.5" spans="1:14">
      <c r="A62" s="35"/>
      <c r="B62" s="41" t="s">
        <v>42</v>
      </c>
      <c r="C62" s="40" t="s">
        <v>43</v>
      </c>
      <c r="D62" s="41" t="s">
        <v>27</v>
      </c>
      <c r="E62" s="35">
        <v>1</v>
      </c>
      <c r="F62" s="37"/>
      <c r="G62" s="42"/>
      <c r="H62" s="42"/>
      <c r="I62" s="38">
        <v>65</v>
      </c>
      <c r="J62" s="38">
        <f t="shared" si="4"/>
        <v>65</v>
      </c>
      <c r="K62" s="51" t="s">
        <v>44</v>
      </c>
    </row>
    <row r="63" customFormat="1" ht="27" customHeight="1" spans="1:14">
      <c r="A63" s="43"/>
      <c r="B63" s="46"/>
      <c r="C63" s="45"/>
      <c r="D63" s="46"/>
      <c r="E63" s="44"/>
      <c r="F63" s="47"/>
      <c r="G63" s="48"/>
      <c r="H63" s="48"/>
      <c r="I63" s="49"/>
      <c r="J63" s="49">
        <f>SUM(J58:J62)</f>
        <v>3095</v>
      </c>
      <c r="K63" s="52"/>
    </row>
    <row r="64" customFormat="1" ht="36" customHeight="1" spans="1:14">
      <c r="A64" s="32" t="s">
        <v>65</v>
      </c>
      <c r="B64" s="33"/>
      <c r="C64" s="33"/>
      <c r="D64" s="33"/>
      <c r="E64" s="33"/>
      <c r="F64" s="33"/>
      <c r="G64" s="33"/>
      <c r="H64" s="33"/>
      <c r="I64" s="33"/>
      <c r="J64" s="33"/>
      <c r="K64" s="34"/>
    </row>
    <row r="65" s="3" customFormat="1" ht="26" customHeight="1" spans="1:14">
      <c r="A65" s="53"/>
      <c r="B65" s="53" t="s">
        <v>66</v>
      </c>
      <c r="C65" s="54" t="s">
        <v>67</v>
      </c>
      <c r="D65" s="53" t="s">
        <v>68</v>
      </c>
      <c r="E65" s="53">
        <v>1</v>
      </c>
      <c r="F65" s="55">
        <v>1200</v>
      </c>
      <c r="G65" s="55"/>
      <c r="H65" s="55"/>
      <c r="I65" s="56">
        <v>900</v>
      </c>
      <c r="J65" s="56">
        <f t="shared" ref="J65:J71" si="5">E65*I65</f>
        <v>900</v>
      </c>
      <c r="K65" s="54" t="s">
        <v>69</v>
      </c>
      <c r="L65" s="4"/>
      <c r="M65" s="4"/>
      <c r="N65" s="4"/>
    </row>
    <row r="66" s="3" customFormat="1" ht="34.5" customHeight="1" spans="1:14">
      <c r="A66" s="35"/>
      <c r="B66" s="35" t="s">
        <v>70</v>
      </c>
      <c r="C66" s="40" t="s">
        <v>71</v>
      </c>
      <c r="D66" s="41" t="s">
        <v>15</v>
      </c>
      <c r="E66" s="35">
        <v>465</v>
      </c>
      <c r="F66" s="37"/>
      <c r="G66" s="42"/>
      <c r="H66" s="42"/>
      <c r="I66" s="38">
        <v>3</v>
      </c>
      <c r="J66" s="38">
        <f t="shared" si="5"/>
        <v>1395</v>
      </c>
      <c r="K66" s="40" t="s">
        <v>72</v>
      </c>
      <c r="L66" s="4"/>
      <c r="M66" s="4"/>
      <c r="N66" s="4"/>
    </row>
    <row r="67" s="3" customFormat="1" ht="34.5" customHeight="1" spans="1:14">
      <c r="A67" s="35"/>
      <c r="B67" s="35" t="s">
        <v>73</v>
      </c>
      <c r="C67" s="40" t="s">
        <v>74</v>
      </c>
      <c r="D67" s="41" t="s">
        <v>68</v>
      </c>
      <c r="E67" s="35">
        <v>1</v>
      </c>
      <c r="F67" s="37"/>
      <c r="G67" s="42"/>
      <c r="H67" s="42"/>
      <c r="I67" s="38">
        <v>800</v>
      </c>
      <c r="J67" s="38">
        <f t="shared" si="5"/>
        <v>800</v>
      </c>
      <c r="K67" s="40" t="s">
        <v>75</v>
      </c>
      <c r="L67" s="4"/>
      <c r="M67" s="4"/>
      <c r="N67" s="4"/>
    </row>
    <row r="68" s="3" customFormat="1" ht="34.5" customHeight="1" spans="1:14">
      <c r="A68" s="35"/>
      <c r="B68" s="35" t="s">
        <v>73</v>
      </c>
      <c r="C68" s="40" t="s">
        <v>76</v>
      </c>
      <c r="D68" s="41" t="s">
        <v>68</v>
      </c>
      <c r="E68" s="35">
        <v>1</v>
      </c>
      <c r="F68" s="37"/>
      <c r="G68" s="42"/>
      <c r="H68" s="42"/>
      <c r="I68" s="38">
        <v>800</v>
      </c>
      <c r="J68" s="38">
        <f t="shared" si="5"/>
        <v>800</v>
      </c>
      <c r="K68" s="40" t="s">
        <v>77</v>
      </c>
      <c r="L68" s="4"/>
      <c r="M68" s="4"/>
      <c r="N68" s="4"/>
    </row>
    <row r="69" s="5" customFormat="1" ht="24" customHeight="1" spans="1:14">
      <c r="A69" s="35"/>
      <c r="B69" s="35" t="s">
        <v>70</v>
      </c>
      <c r="C69" s="40" t="s">
        <v>78</v>
      </c>
      <c r="D69" s="41" t="s">
        <v>15</v>
      </c>
      <c r="E69" s="35">
        <v>16</v>
      </c>
      <c r="F69" s="37"/>
      <c r="G69" s="42"/>
      <c r="H69" s="42"/>
      <c r="I69" s="38">
        <v>145</v>
      </c>
      <c r="J69" s="38">
        <f t="shared" si="5"/>
        <v>2320</v>
      </c>
      <c r="K69" s="40" t="s">
        <v>72</v>
      </c>
      <c r="L69" s="8"/>
      <c r="M69" s="8"/>
      <c r="N69" s="8"/>
    </row>
    <row r="70" s="5" customFormat="1" ht="24" customHeight="1" spans="1:14">
      <c r="A70" s="35"/>
      <c r="B70" s="35" t="s">
        <v>70</v>
      </c>
      <c r="C70" s="40" t="s">
        <v>79</v>
      </c>
      <c r="D70" s="41" t="s">
        <v>27</v>
      </c>
      <c r="E70" s="35">
        <v>9</v>
      </c>
      <c r="F70" s="37"/>
      <c r="G70" s="42"/>
      <c r="H70" s="42"/>
      <c r="I70" s="38">
        <v>40</v>
      </c>
      <c r="J70" s="38">
        <f t="shared" si="5"/>
        <v>360</v>
      </c>
      <c r="K70" s="40" t="s">
        <v>72</v>
      </c>
      <c r="L70" s="8"/>
      <c r="M70" s="8"/>
      <c r="N70" s="8"/>
    </row>
    <row r="71" s="5" customFormat="1" ht="24" customHeight="1" spans="1:14">
      <c r="A71" s="35"/>
      <c r="B71" s="35" t="s">
        <v>70</v>
      </c>
      <c r="C71" s="40" t="s">
        <v>80</v>
      </c>
      <c r="D71" s="41" t="s">
        <v>15</v>
      </c>
      <c r="E71" s="35">
        <v>143</v>
      </c>
      <c r="F71" s="37"/>
      <c r="G71" s="42"/>
      <c r="H71" s="42"/>
      <c r="I71" s="38">
        <v>55</v>
      </c>
      <c r="J71" s="38">
        <f t="shared" si="5"/>
        <v>7865</v>
      </c>
      <c r="K71" s="40" t="s">
        <v>81</v>
      </c>
      <c r="L71" s="8"/>
      <c r="M71" s="8"/>
      <c r="N71" s="8"/>
    </row>
    <row r="72" s="5" customFormat="1" ht="24" customHeight="1" spans="1:14">
      <c r="A72" s="44"/>
      <c r="B72" s="44"/>
      <c r="C72" s="45"/>
      <c r="D72" s="46"/>
      <c r="E72" s="44"/>
      <c r="F72" s="47"/>
      <c r="G72" s="48"/>
      <c r="H72" s="48"/>
      <c r="I72" s="49"/>
      <c r="J72" s="49">
        <f>SUM(J65:J71)</f>
        <v>14440</v>
      </c>
      <c r="K72" s="45"/>
      <c r="L72" s="8"/>
      <c r="M72" s="8"/>
      <c r="N72" s="8"/>
    </row>
    <row r="73" s="5" customFormat="1" spans="1:14">
      <c r="A73" s="57" t="s">
        <v>82</v>
      </c>
      <c r="B73" s="58"/>
      <c r="C73" s="58"/>
      <c r="D73" s="58"/>
      <c r="E73" s="58"/>
      <c r="F73" s="58"/>
      <c r="G73" s="58"/>
      <c r="H73" s="58"/>
      <c r="I73" s="58"/>
      <c r="J73" s="58"/>
      <c r="K73" s="59"/>
      <c r="L73" s="8"/>
      <c r="M73" s="8"/>
      <c r="N73" s="8"/>
    </row>
    <row r="74" s="5" customFormat="1" ht="45" spans="1:14">
      <c r="A74" s="35"/>
      <c r="B74" s="35" t="s">
        <v>83</v>
      </c>
      <c r="C74" s="40" t="s">
        <v>84</v>
      </c>
      <c r="D74" s="41" t="s">
        <v>85</v>
      </c>
      <c r="E74" s="35">
        <v>150</v>
      </c>
      <c r="F74" s="37"/>
      <c r="G74" s="42"/>
      <c r="H74" s="42"/>
      <c r="I74" s="38">
        <v>60</v>
      </c>
      <c r="J74" s="38">
        <f>SUM(E74*I74)</f>
        <v>9000</v>
      </c>
      <c r="K74" s="40" t="s">
        <v>86</v>
      </c>
      <c r="L74" s="8"/>
      <c r="M74" s="8"/>
      <c r="N74" s="8"/>
    </row>
    <row r="75" s="5" customFormat="1" ht="45" spans="1:14">
      <c r="A75" s="35"/>
      <c r="B75" s="35" t="s">
        <v>87</v>
      </c>
      <c r="C75" s="40" t="s">
        <v>88</v>
      </c>
      <c r="D75" s="41" t="s">
        <v>85</v>
      </c>
      <c r="E75" s="35">
        <v>120</v>
      </c>
      <c r="F75" s="37"/>
      <c r="G75" s="42"/>
      <c r="H75" s="42"/>
      <c r="I75" s="38">
        <v>30</v>
      </c>
      <c r="J75" s="38">
        <f>SUM(E75*I75)</f>
        <v>3600</v>
      </c>
      <c r="K75" s="40" t="s">
        <v>89</v>
      </c>
      <c r="L75" s="8"/>
      <c r="M75" s="8"/>
      <c r="N75" s="8"/>
    </row>
    <row r="76" s="5" customFormat="1" ht="22.5" spans="1:14">
      <c r="A76" s="35"/>
      <c r="B76" s="35" t="s">
        <v>90</v>
      </c>
      <c r="C76" s="40" t="s">
        <v>91</v>
      </c>
      <c r="D76" s="41" t="s">
        <v>85</v>
      </c>
      <c r="E76" s="35">
        <v>30</v>
      </c>
      <c r="F76" s="37"/>
      <c r="G76" s="42"/>
      <c r="H76" s="42"/>
      <c r="I76" s="38">
        <v>65</v>
      </c>
      <c r="J76" s="38">
        <f>SUM(E76*I76)</f>
        <v>1950</v>
      </c>
      <c r="K76" s="40" t="s">
        <v>92</v>
      </c>
      <c r="L76" s="8"/>
      <c r="M76" s="8"/>
      <c r="N76" s="8"/>
    </row>
    <row r="77" s="5" customFormat="1" ht="22.5" spans="1:14">
      <c r="A77" s="35"/>
      <c r="B77" s="35" t="s">
        <v>93</v>
      </c>
      <c r="C77" s="40" t="s">
        <v>94</v>
      </c>
      <c r="D77" s="41" t="s">
        <v>85</v>
      </c>
      <c r="E77" s="35">
        <v>30</v>
      </c>
      <c r="F77" s="37"/>
      <c r="G77" s="42"/>
      <c r="H77" s="42"/>
      <c r="I77" s="38">
        <v>55</v>
      </c>
      <c r="J77" s="38">
        <f>SUM(E77*I77)</f>
        <v>1650</v>
      </c>
      <c r="K77" s="40" t="s">
        <v>95</v>
      </c>
      <c r="L77" s="8"/>
      <c r="M77" s="8"/>
      <c r="N77" s="8"/>
    </row>
    <row r="78" s="5" customFormat="1" ht="22.5" spans="1:14">
      <c r="A78" s="35"/>
      <c r="B78" s="35" t="s">
        <v>96</v>
      </c>
      <c r="C78" s="40" t="s">
        <v>97</v>
      </c>
      <c r="D78" s="41" t="s">
        <v>68</v>
      </c>
      <c r="E78" s="35">
        <v>1</v>
      </c>
      <c r="F78" s="42"/>
      <c r="G78" s="42"/>
      <c r="H78" s="42"/>
      <c r="I78" s="38">
        <v>800</v>
      </c>
      <c r="J78" s="38">
        <v>800</v>
      </c>
      <c r="K78" s="40" t="s">
        <v>98</v>
      </c>
      <c r="L78" s="8"/>
      <c r="M78" s="8"/>
      <c r="N78" s="8"/>
    </row>
    <row r="79" s="5" customFormat="1" ht="25" customHeight="1" spans="1:14">
      <c r="A79" s="44"/>
      <c r="B79" s="44"/>
      <c r="C79" s="45"/>
      <c r="D79" s="46"/>
      <c r="E79" s="44"/>
      <c r="F79" s="48"/>
      <c r="G79" s="48"/>
      <c r="H79" s="48"/>
      <c r="I79" s="60"/>
      <c r="J79" s="38">
        <f>SUM(J74:J78)</f>
        <v>17000</v>
      </c>
      <c r="K79" s="61"/>
      <c r="L79" s="8"/>
      <c r="M79" s="8"/>
      <c r="N79" s="8"/>
    </row>
    <row r="80" s="5" customFormat="1" ht="25" customHeight="1" spans="1:14">
      <c r="A80" s="57" t="s">
        <v>99</v>
      </c>
      <c r="B80" s="58"/>
      <c r="C80" s="58"/>
      <c r="D80" s="58"/>
      <c r="E80" s="58"/>
      <c r="F80" s="58"/>
      <c r="G80" s="58"/>
      <c r="H80" s="58"/>
      <c r="I80" s="62"/>
      <c r="J80" s="63"/>
      <c r="K80" s="64"/>
      <c r="L80" s="8"/>
      <c r="M80" s="8"/>
      <c r="N80" s="8"/>
    </row>
    <row r="81" ht="21" customHeight="1" spans="1:11">
      <c r="A81" s="65"/>
      <c r="B81" s="35" t="s">
        <v>100</v>
      </c>
      <c r="C81" s="40" t="s">
        <v>101</v>
      </c>
      <c r="D81" s="41" t="s">
        <v>68</v>
      </c>
      <c r="E81" s="66">
        <v>2</v>
      </c>
      <c r="F81" s="66"/>
      <c r="G81" s="41"/>
      <c r="H81" s="41"/>
      <c r="I81" s="38">
        <v>300</v>
      </c>
      <c r="J81" s="38">
        <v>600</v>
      </c>
      <c r="K81" s="67"/>
    </row>
    <row r="82" ht="17" customHeight="1" spans="1:11">
      <c r="A82" s="65"/>
      <c r="B82" s="35" t="s">
        <v>102</v>
      </c>
      <c r="C82" s="40" t="s">
        <v>103</v>
      </c>
      <c r="D82" s="41" t="s">
        <v>68</v>
      </c>
      <c r="E82" s="66">
        <v>2</v>
      </c>
      <c r="F82" s="66"/>
      <c r="G82" s="41"/>
      <c r="H82" s="41"/>
      <c r="I82" s="38">
        <v>350</v>
      </c>
      <c r="J82" s="38">
        <f t="shared" ref="J82:J86" si="6">E82*I82</f>
        <v>700</v>
      </c>
      <c r="K82" s="67" t="s">
        <v>104</v>
      </c>
    </row>
    <row r="83" ht="23" customHeight="1" spans="1:11">
      <c r="A83" s="65"/>
      <c r="B83" s="35" t="s">
        <v>105</v>
      </c>
      <c r="C83" s="40" t="s">
        <v>106</v>
      </c>
      <c r="D83" s="41" t="s">
        <v>68</v>
      </c>
      <c r="E83" s="66">
        <v>1</v>
      </c>
      <c r="F83" s="66"/>
      <c r="G83" s="41"/>
      <c r="H83" s="41"/>
      <c r="I83" s="38">
        <v>800</v>
      </c>
      <c r="J83" s="38">
        <f t="shared" si="6"/>
        <v>800</v>
      </c>
      <c r="K83" s="67"/>
    </row>
    <row r="84" ht="22.5" spans="1:11">
      <c r="A84" s="65"/>
      <c r="B84" s="35" t="s">
        <v>100</v>
      </c>
      <c r="C84" s="40" t="s">
        <v>107</v>
      </c>
      <c r="D84" s="41" t="s">
        <v>108</v>
      </c>
      <c r="E84" s="66">
        <v>16</v>
      </c>
      <c r="F84" s="66"/>
      <c r="G84" s="41"/>
      <c r="H84" s="41"/>
      <c r="I84" s="38">
        <v>35</v>
      </c>
      <c r="J84" s="38">
        <f t="shared" si="6"/>
        <v>560</v>
      </c>
      <c r="K84" s="67"/>
    </row>
    <row r="85" ht="22.5" spans="1:11">
      <c r="A85" s="65"/>
      <c r="B85" s="35" t="s">
        <v>100</v>
      </c>
      <c r="C85" s="40" t="s">
        <v>109</v>
      </c>
      <c r="D85" s="41" t="s">
        <v>68</v>
      </c>
      <c r="E85" s="66">
        <v>1</v>
      </c>
      <c r="F85" s="66"/>
      <c r="G85" s="41"/>
      <c r="H85" s="41"/>
      <c r="I85" s="38">
        <v>800</v>
      </c>
      <c r="J85" s="38">
        <f t="shared" si="6"/>
        <v>800</v>
      </c>
      <c r="K85" s="67"/>
    </row>
    <row r="86" ht="22.5" spans="1:11">
      <c r="A86" s="65"/>
      <c r="B86" s="35" t="s">
        <v>100</v>
      </c>
      <c r="C86" s="40" t="s">
        <v>110</v>
      </c>
      <c r="D86" s="41" t="s">
        <v>68</v>
      </c>
      <c r="E86" s="66">
        <v>150</v>
      </c>
      <c r="F86" s="66"/>
      <c r="G86" s="41"/>
      <c r="H86" s="41"/>
      <c r="I86" s="38">
        <v>30</v>
      </c>
      <c r="J86" s="38">
        <f t="shared" si="6"/>
        <v>4500</v>
      </c>
      <c r="K86" s="67"/>
    </row>
    <row r="87" ht="23" customHeight="1" spans="1:11">
      <c r="A87" s="44"/>
      <c r="B87" s="44"/>
      <c r="C87" s="45"/>
      <c r="D87" s="46"/>
      <c r="E87" s="68"/>
      <c r="F87" s="68"/>
      <c r="G87" s="46"/>
      <c r="H87" s="46"/>
      <c r="I87" s="49"/>
      <c r="J87" s="49">
        <f>SUM(J81:J86)</f>
        <v>7960</v>
      </c>
      <c r="K87" s="69"/>
    </row>
    <row r="88" ht="28" customHeight="1" spans="1:11">
      <c r="A88" s="44"/>
      <c r="B88" s="44"/>
      <c r="C88" s="46"/>
      <c r="D88" s="46"/>
      <c r="E88" s="46"/>
      <c r="F88" s="46"/>
      <c r="G88" s="46"/>
      <c r="H88" s="46"/>
      <c r="I88" s="46"/>
      <c r="J88" s="46"/>
      <c r="K88" s="46"/>
    </row>
    <row r="89" ht="28" customHeight="1" spans="1:11">
      <c r="A89" s="70"/>
      <c r="B89" s="71"/>
      <c r="C89" s="72" t="s">
        <v>111</v>
      </c>
      <c r="D89" s="71"/>
      <c r="E89" s="73"/>
      <c r="F89" s="71"/>
      <c r="G89" s="71"/>
      <c r="H89" s="71"/>
      <c r="I89" s="71"/>
      <c r="J89" s="74">
        <v>86370</v>
      </c>
      <c r="K89" s="75"/>
    </row>
    <row r="90" ht="12" spans="1:11">
      <c r="A90" s="76" t="s">
        <v>112</v>
      </c>
      <c r="B90" s="77"/>
      <c r="C90" s="78" t="s">
        <v>113</v>
      </c>
      <c r="D90" s="79">
        <f>J89</f>
        <v>86370</v>
      </c>
      <c r="E90" s="79"/>
      <c r="F90" s="79"/>
      <c r="G90" s="79"/>
      <c r="H90" s="79"/>
      <c r="I90" s="79"/>
      <c r="J90" s="79"/>
      <c r="K90" s="80"/>
    </row>
    <row r="91" spans="1:11">
      <c r="A91" s="81" t="s">
        <v>114</v>
      </c>
      <c r="B91" s="82"/>
      <c r="C91" s="78" t="s">
        <v>115</v>
      </c>
      <c r="D91" s="79">
        <f>D90</f>
        <v>86370</v>
      </c>
      <c r="E91" s="79"/>
      <c r="F91" s="79"/>
      <c r="G91" s="79"/>
      <c r="H91" s="79"/>
      <c r="I91" s="79"/>
      <c r="J91" s="79"/>
      <c r="K91" s="80"/>
    </row>
    <row r="92" spans="1:11">
      <c r="A92" s="83" t="s">
        <v>116</v>
      </c>
      <c r="B92" s="84"/>
      <c r="C92" s="84"/>
      <c r="D92" s="84"/>
      <c r="E92" s="84"/>
      <c r="F92" s="84"/>
      <c r="G92" s="84"/>
      <c r="H92" s="84"/>
      <c r="I92" s="84"/>
      <c r="J92" s="84"/>
      <c r="K92" s="85"/>
    </row>
    <row r="93" spans="1:11">
      <c r="A93" s="86" t="s">
        <v>117</v>
      </c>
      <c r="B93" s="87"/>
      <c r="C93" s="87"/>
      <c r="D93" s="87"/>
      <c r="E93" s="87"/>
      <c r="F93" s="87"/>
      <c r="G93" s="87"/>
      <c r="H93" s="87"/>
      <c r="I93" s="87"/>
      <c r="J93" s="87"/>
      <c r="K93" s="88"/>
    </row>
    <row r="94" spans="1:11">
      <c r="A94" s="86" t="s">
        <v>118</v>
      </c>
      <c r="B94" s="87"/>
      <c r="C94" s="87"/>
      <c r="D94" s="87"/>
      <c r="E94" s="87"/>
      <c r="F94" s="87"/>
      <c r="G94" s="87"/>
      <c r="H94" s="87"/>
      <c r="I94" s="87"/>
      <c r="J94" s="87"/>
      <c r="K94" s="88"/>
    </row>
    <row r="95" spans="1:11">
      <c r="A95" s="86" t="s">
        <v>119</v>
      </c>
      <c r="B95" s="87"/>
      <c r="C95" s="87"/>
      <c r="D95" s="87"/>
      <c r="E95" s="87"/>
      <c r="F95" s="87"/>
      <c r="G95" s="87"/>
      <c r="H95" s="87"/>
      <c r="I95" s="87"/>
      <c r="J95" s="87"/>
      <c r="K95" s="88"/>
    </row>
    <row r="96" ht="12" spans="1:11">
      <c r="A96" s="89"/>
      <c r="B96" s="90"/>
      <c r="C96" s="90"/>
      <c r="D96" s="90"/>
      <c r="E96" s="90"/>
      <c r="F96" s="90"/>
      <c r="G96" s="90"/>
      <c r="H96" s="90"/>
      <c r="I96" s="90"/>
      <c r="J96" s="90"/>
      <c r="K96" s="91"/>
    </row>
    <row r="97" spans="1:11">
      <c r="J97" s="92"/>
    </row>
    <row r="98" spans="1:11">
      <c r="J98" s="92"/>
    </row>
    <row r="99" spans="1:1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</row>
    <row r="100" spans="1:1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</row>
    <row r="101" spans="1:1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</row>
    <row r="102" spans="1:1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</row>
    <row r="103" spans="1:1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</row>
    <row r="104" spans="1:1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</row>
    <row r="105" spans="1:1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</row>
    <row r="106" spans="1:1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</row>
    <row r="107" spans="1:1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</row>
    <row r="108" spans="1:1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</row>
    <row r="109" spans="1:1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</row>
    <row r="110" spans="1:1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</row>
    <row r="111" spans="1:11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</row>
    <row r="112" spans="1:1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</row>
    <row r="113" spans="1:1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</row>
    <row r="114" spans="1:1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</row>
    <row r="115" spans="1:1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</row>
    <row r="116" spans="1:1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</row>
    <row r="117" spans="1:1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</row>
  </sheetData>
  <autoFilter xmlns:etc="http://www.wps.cn/officeDocument/2017/etCustomData" ref="A5:K96" etc:filterBottomFollowUsedRange="0">
    <extLst/>
  </autoFilter>
  <mergeCells count="24">
    <mergeCell ref="A1:K1"/>
    <mergeCell ref="A2:K2"/>
    <mergeCell ref="A3:K3"/>
    <mergeCell ref="A4:K4"/>
    <mergeCell ref="A6:K6"/>
    <mergeCell ref="A14:K14"/>
    <mergeCell ref="A21:K21"/>
    <mergeCell ref="A27:K27"/>
    <mergeCell ref="A35:K35"/>
    <mergeCell ref="A42:K42"/>
    <mergeCell ref="A50:K50"/>
    <mergeCell ref="A57:K57"/>
    <mergeCell ref="A64:K64"/>
    <mergeCell ref="F65:G65"/>
    <mergeCell ref="A73:K73"/>
    <mergeCell ref="A80:I80"/>
    <mergeCell ref="C88:K88"/>
    <mergeCell ref="D90:J90"/>
    <mergeCell ref="D91:J91"/>
    <mergeCell ref="A92:K92"/>
    <mergeCell ref="A93:K93"/>
    <mergeCell ref="A94:K94"/>
    <mergeCell ref="A95:K95"/>
    <mergeCell ref="A96:K96"/>
  </mergeCells>
  <printOptions horizontalCentered="1" gridLines="1"/>
  <pageMargins left="0.238888888888889" right="0.238888888888889" top="0.21875" bottom="0.318055555555556" header="0.209027777777778" footer="0.138888888888889"/>
  <pageSetup paperSize="9" scale="96" orientation="landscape" verticalDpi="360"/>
  <headerFooter alignWithMargins="0" scaleWithDoc="0"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澳华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报价单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澳华</dc:creator>
  <cp:lastModifiedBy>街灯熄了</cp:lastModifiedBy>
  <cp:revision>1</cp:revision>
  <dcterms:created xsi:type="dcterms:W3CDTF">2005-10-21T03:20:00Z</dcterms:created>
  <cp:lastPrinted>2013-11-10T02:53:00Z</cp:lastPrinted>
  <dcterms:modified xsi:type="dcterms:W3CDTF">2026-10-22T08:20:42Z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6F76308C300240028A819607555F343D</vt:lpwstr>
  </property>
  <property fmtid="{D5CDD505-2E9C-101B-9397-08002B2CF9AE}" pid="4" name="CalculationRule">
    <vt:i4>0</vt:i4>
  </property>
</Properties>
</file>